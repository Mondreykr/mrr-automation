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rcorpsandsolutions-my.sharepoint.com/personal/amcallister_enercorp_net/Documents/1 Projects/2026 Q1 - MRR Automation/"/>
    </mc:Choice>
  </mc:AlternateContent>
  <xr:revisionPtr revIDLastSave="15" documentId="13_ncr:1_{5926B526-F4DA-4442-BFE0-F17364FA3E61}" xr6:coauthVersionLast="47" xr6:coauthVersionMax="47" xr10:uidLastSave="{C501F722-DEEB-4420-9647-961F82B4FCA9}"/>
  <bookViews>
    <workbookView xWindow="12705" yWindow="0" windowWidth="25800" windowHeight="20985" xr2:uid="{863B0EA5-FCC0-4AF6-AB26-14E099EBACDE}"/>
  </bookViews>
  <sheets>
    <sheet name="MRR" sheetId="1" r:id="rId1"/>
    <sheet name="MRR 2" sheetId="9" r:id="rId2"/>
    <sheet name="MRR 3" sheetId="10" r:id="rId3"/>
    <sheet name="Data shee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0" l="1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21" i="1"/>
</calcChain>
</file>

<file path=xl/sharedStrings.xml><?xml version="1.0" encoding="utf-8"?>
<sst xmlns="http://schemas.openxmlformats.org/spreadsheetml/2006/main" count="136" uniqueCount="69">
  <si>
    <t>Material Receiving Report</t>
  </si>
  <si>
    <t>Qty</t>
  </si>
  <si>
    <t>Thickness</t>
  </si>
  <si>
    <t>Heat #</t>
  </si>
  <si>
    <t>Product Description</t>
  </si>
  <si>
    <t>Part #</t>
  </si>
  <si>
    <t>Color Code</t>
  </si>
  <si>
    <t>Rec'd By:</t>
  </si>
  <si>
    <t>Supplier:</t>
  </si>
  <si>
    <t>Rec. Date:</t>
  </si>
  <si>
    <t>PO #:</t>
  </si>
  <si>
    <t>Circ.</t>
  </si>
  <si>
    <t>Diam.</t>
  </si>
  <si>
    <t>Material Spec.</t>
  </si>
  <si>
    <t xml:space="preserve">Job No. </t>
  </si>
  <si>
    <t xml:space="preserve">                   Record of Actual Code Required Markings</t>
  </si>
  <si>
    <t>RED</t>
  </si>
  <si>
    <t>LB</t>
  </si>
  <si>
    <t>A105N</t>
  </si>
  <si>
    <t>A53 Grade B (ERW)</t>
  </si>
  <si>
    <t>A234 WPB</t>
  </si>
  <si>
    <t>FO</t>
  </si>
  <si>
    <t>A420 WPL6</t>
  </si>
  <si>
    <t>A516-70N</t>
  </si>
  <si>
    <t>A-36</t>
  </si>
  <si>
    <t>105N</t>
  </si>
  <si>
    <t>Flat Bar</t>
  </si>
  <si>
    <t>Round Bar</t>
  </si>
  <si>
    <t>WHITE</t>
  </si>
  <si>
    <t>G40.21-44W</t>
  </si>
  <si>
    <t>FG</t>
  </si>
  <si>
    <t>Angle Iron</t>
  </si>
  <si>
    <t>A1011</t>
  </si>
  <si>
    <t>G40.21-50W</t>
  </si>
  <si>
    <t>FP</t>
  </si>
  <si>
    <t>HSS</t>
  </si>
  <si>
    <t>I Beam</t>
  </si>
  <si>
    <t>WF Beam</t>
  </si>
  <si>
    <t>G40.21-50WT-CAT 4</t>
  </si>
  <si>
    <t>YELLOW</t>
  </si>
  <si>
    <t>PURPLE</t>
  </si>
  <si>
    <t>4130H</t>
  </si>
  <si>
    <t>A106-B</t>
  </si>
  <si>
    <t>A333 - 6</t>
  </si>
  <si>
    <t>LCC</t>
  </si>
  <si>
    <t>-</t>
  </si>
  <si>
    <t>316/316L</t>
  </si>
  <si>
    <t>LCC CS</t>
  </si>
  <si>
    <t>SA516-70N</t>
  </si>
  <si>
    <t>A403-WP-316</t>
  </si>
  <si>
    <t>A352LCC/A350LF2/316SS</t>
  </si>
  <si>
    <t>NACE</t>
  </si>
  <si>
    <t>A351-CF8M</t>
  </si>
  <si>
    <t>A312-316L</t>
  </si>
  <si>
    <t>G40.21 50WT-4</t>
  </si>
  <si>
    <t>Y</t>
  </si>
  <si>
    <t>Lucian Gear</t>
  </si>
  <si>
    <t>Keith Kraemer</t>
  </si>
  <si>
    <t>Llyam Stoddard</t>
  </si>
  <si>
    <t>SA350-LF2 CL.1</t>
  </si>
  <si>
    <t>SA/A194-2HM</t>
  </si>
  <si>
    <t>SA/A194-7</t>
  </si>
  <si>
    <t>SA/A193-B7M</t>
  </si>
  <si>
    <t>SA/A320-L43</t>
  </si>
  <si>
    <t>CSA G40.21 50W</t>
  </si>
  <si>
    <t>CSA G40.21 44W</t>
  </si>
  <si>
    <t>A216-WCB</t>
  </si>
  <si>
    <t>F436-1</t>
  </si>
  <si>
    <t>A563-DH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</si>
</sst>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 d\,\ yyyy;@"/>
    <numFmt numFmtId="165" formatCode="#,##0.000?#&quot;''&quot;"/>
    <numFmt numFmtId="166" formatCode="##,#?#&quot;''&quot;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9"/>
      <color theme="1"/>
      <name val="Tahoma"/>
      <family val="2"/>
    </font>
    <font>
      <b/>
      <sz val="8"/>
      <color theme="1"/>
      <name val="Tahoma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2" fillId="0" borderId="0" xfId="0" applyFont="1" applyAlignment="1">
      <alignment wrapText="1"/>
    </xf>
    <xf numFmtId="0" fontId="5" fillId="0" borderId="23" xfId="0" applyFont="1" applyBorder="1" applyAlignment="1">
      <alignment horizontal="center" vertical="center"/>
    </xf>
    <xf numFmtId="0" fontId="5" fillId="0" borderId="4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left" vertical="center" wrapText="1"/>
      <protection locked="0"/>
    </xf>
    <xf numFmtId="0" fontId="5" fillId="0" borderId="7" xfId="0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left" vertical="center" wrapText="1"/>
      <protection locked="0"/>
    </xf>
    <xf numFmtId="0" fontId="5" fillId="0" borderId="22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1" fillId="0" borderId="24" xfId="0" applyFont="1" applyBorder="1" applyAlignment="1">
      <alignment vertical="center"/>
    </xf>
    <xf numFmtId="49" fontId="5" fillId="0" borderId="5" xfId="0" applyNumberFormat="1" applyFont="1" applyBorder="1" applyAlignment="1" applyProtection="1">
      <alignment horizontal="center" vertical="center" wrapText="1"/>
      <protection locked="0"/>
    </xf>
    <xf numFmtId="49" fontId="5" fillId="0" borderId="8" xfId="0" applyNumberFormat="1" applyFont="1" applyBorder="1" applyAlignment="1" applyProtection="1">
      <alignment horizontal="center" vertical="center" wrapText="1"/>
      <protection locked="0"/>
    </xf>
    <xf numFmtId="165" fontId="5" fillId="0" borderId="5" xfId="0" applyNumberFormat="1" applyFont="1" applyBorder="1" applyAlignment="1" applyProtection="1">
      <alignment horizontal="center" vertical="center"/>
      <protection locked="0"/>
    </xf>
    <xf numFmtId="165" fontId="5" fillId="0" borderId="5" xfId="0" applyNumberFormat="1" applyFont="1" applyBorder="1" applyAlignment="1" applyProtection="1">
      <alignment horizontal="center" vertical="center" wrapText="1"/>
      <protection locked="0"/>
    </xf>
    <xf numFmtId="165" fontId="5" fillId="0" borderId="8" xfId="0" applyNumberFormat="1" applyFont="1" applyBorder="1" applyAlignment="1" applyProtection="1">
      <alignment horizontal="center" vertical="center" wrapText="1"/>
      <protection locked="0"/>
    </xf>
    <xf numFmtId="166" fontId="5" fillId="0" borderId="5" xfId="0" applyNumberFormat="1" applyFont="1" applyBorder="1" applyAlignment="1" applyProtection="1">
      <alignment horizontal="center" vertical="center"/>
      <protection locked="0"/>
    </xf>
    <xf numFmtId="165" fontId="5" fillId="0" borderId="8" xfId="0" applyNumberFormat="1" applyFont="1" applyBorder="1" applyAlignment="1" applyProtection="1">
      <alignment horizontal="center" vertical="center"/>
      <protection locked="0"/>
    </xf>
    <xf numFmtId="166" fontId="5" fillId="0" borderId="8" xfId="0" applyNumberFormat="1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64" fontId="2" fillId="0" borderId="1" xfId="0" applyNumberFormat="1" applyFont="1" applyBorder="1" applyAlignment="1" applyProtection="1">
      <alignment horizontal="left" vertical="center"/>
      <protection locked="0"/>
    </xf>
    <xf numFmtId="164" fontId="2" fillId="0" borderId="20" xfId="0" applyNumberFormat="1" applyFont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0" borderId="21" xfId="0" applyFont="1" applyBorder="1" applyAlignment="1" applyProtection="1">
      <alignment horizontal="left" vertical="center"/>
      <protection locked="0"/>
    </xf>
    <xf numFmtId="0" fontId="1" fillId="0" borderId="10" xfId="0" applyFont="1" applyBorder="1" applyAlignment="1" applyProtection="1">
      <alignment vertical="center"/>
      <protection locked="0"/>
    </xf>
    <xf numFmtId="0" fontId="1" fillId="0" borderId="1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57150</xdr:colOff>
      <xdr:row>0</xdr:row>
      <xdr:rowOff>161925</xdr:rowOff>
    </xdr:from>
    <xdr:to>
      <xdr:col>3</xdr:col>
      <xdr:colOff>85725</xdr:colOff>
      <xdr:row>2</xdr:row>
      <xdr:rowOff>76200</xdr:rowOff>
    </xdr:to>
    <xdr:pic>
      <xdr:nvPicPr>
        <xdr:cNvPr id="1047" name="Picture 2">
          <a:extLst>
            <a:ext uri="{FF2B5EF4-FFF2-40B4-BE49-F238E27FC236}">
              <a16:creationId xmlns:a16="http://schemas.microsoft.com/office/drawing/2014/main" id="{AC3EB6B3-174F-1CC6-B147-6CF06E02C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61925"/>
          <a:ext cx="21336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57150</xdr:colOff>
      <xdr:row>0</xdr:row>
      <xdr:rowOff>161925</xdr:rowOff>
    </xdr:from>
    <xdr:to>
      <xdr:col>3</xdr:col>
      <xdr:colOff>85725</xdr:colOff>
      <xdr:row>2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373EBC6-1D2E-4633-BAEC-4367A2146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61925"/>
          <a:ext cx="21336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57150</xdr:colOff>
      <xdr:row>0</xdr:row>
      <xdr:rowOff>161925</xdr:rowOff>
    </xdr:from>
    <xdr:to>
      <xdr:col>3</xdr:col>
      <xdr:colOff>85725</xdr:colOff>
      <xdr:row>2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8661FDF-FB88-4CBE-B790-A3F40FAD8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61925"/>
          <a:ext cx="21336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BC6A286-4028-485B-9399-DF7F15DEEE46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0B8DF-21AF-423F-B30B-EE2A29F953D7}">
  <dimension ref="A1:O21"/>
  <sheetViews>
    <sheetView tabSelected="1" workbookViewId="0">
      <selection activeCell="F18" sqref="F18"/>
    </sheetView>
  </sheetViews>
  <sheetFormatPr defaultColWidth="8.7109375" defaultRowHeight="12.75" x14ac:dyDescent="0.2"/>
  <cols>
    <col min="1" max="1" width="11.42578125" style="2" bestFit="1" customWidth="1"/>
    <col min="2" max="2" width="8.7109375" style="2"/>
    <col min="3" max="3" width="11.42578125" style="2" customWidth="1"/>
    <col min="4" max="4" width="9.5703125" style="2" customWidth="1"/>
    <col min="5" max="5" width="15.5703125" style="2" customWidth="1"/>
    <col min="6" max="6" width="45.140625" style="2" customWidth="1"/>
    <col min="7" max="7" width="13.140625" style="11" customWidth="1"/>
    <col min="8" max="8" width="9.42578125" style="2" customWidth="1"/>
    <col min="9" max="16384" width="8.7109375" style="2"/>
  </cols>
  <sheetData>
    <row r="1" spans="1:15" ht="17.45" customHeight="1" x14ac:dyDescent="0.2">
      <c r="A1" s="35"/>
      <c r="B1" s="36"/>
      <c r="C1" s="36"/>
      <c r="D1" s="36"/>
      <c r="E1" s="41" t="s">
        <v>0</v>
      </c>
      <c r="F1" s="42"/>
      <c r="G1" s="42"/>
      <c r="H1" s="42"/>
      <c r="I1" s="43"/>
      <c r="J1" s="1"/>
      <c r="K1" s="1"/>
      <c r="L1" s="1"/>
      <c r="M1" s="1"/>
      <c r="N1" s="1"/>
      <c r="O1" s="1"/>
    </row>
    <row r="2" spans="1:15" ht="17.100000000000001" customHeight="1" x14ac:dyDescent="0.2">
      <c r="A2" s="37"/>
      <c r="B2" s="38"/>
      <c r="C2" s="38"/>
      <c r="D2" s="38"/>
      <c r="E2" s="3" t="s">
        <v>7</v>
      </c>
      <c r="F2" s="21" t="s">
        <v>56</v>
      </c>
      <c r="G2" s="9" t="s">
        <v>9</v>
      </c>
      <c r="H2" s="44"/>
      <c r="I2" s="45"/>
    </row>
    <row r="3" spans="1:15" ht="17.100000000000001" customHeight="1" thickBot="1" x14ac:dyDescent="0.25">
      <c r="A3" s="39"/>
      <c r="B3" s="40"/>
      <c r="C3" s="40"/>
      <c r="D3" s="40"/>
      <c r="E3" s="4" t="s">
        <v>8</v>
      </c>
      <c r="F3" s="22"/>
      <c r="G3" s="10" t="s">
        <v>10</v>
      </c>
      <c r="H3" s="46"/>
      <c r="I3" s="47"/>
    </row>
    <row r="4" spans="1:15" ht="16.5" customHeight="1" thickBot="1" x14ac:dyDescent="0.25">
      <c r="A4" s="23" t="s">
        <v>14</v>
      </c>
      <c r="B4" s="48"/>
      <c r="C4" s="48"/>
      <c r="D4" s="49"/>
      <c r="E4" s="32" t="s">
        <v>15</v>
      </c>
      <c r="F4" s="33"/>
      <c r="G4" s="33"/>
      <c r="H4" s="33"/>
      <c r="I4" s="34"/>
    </row>
    <row r="5" spans="1:15" ht="21.75" thickBot="1" x14ac:dyDescent="0.25">
      <c r="A5" s="5" t="s">
        <v>1</v>
      </c>
      <c r="B5" s="5" t="s">
        <v>11</v>
      </c>
      <c r="C5" s="5" t="s">
        <v>12</v>
      </c>
      <c r="D5" s="5" t="s">
        <v>2</v>
      </c>
      <c r="E5" s="5" t="s">
        <v>3</v>
      </c>
      <c r="F5" s="5" t="s">
        <v>4</v>
      </c>
      <c r="G5" s="6" t="s">
        <v>13</v>
      </c>
      <c r="H5" s="5" t="s">
        <v>5</v>
      </c>
      <c r="I5" s="6" t="s">
        <v>6</v>
      </c>
    </row>
    <row r="6" spans="1:15" ht="27" customHeight="1" x14ac:dyDescent="0.2">
      <c r="A6" s="13"/>
      <c r="B6" s="26"/>
      <c r="C6" s="29"/>
      <c r="D6" s="27"/>
      <c r="E6" s="24"/>
      <c r="F6" s="16"/>
      <c r="G6" s="15"/>
      <c r="H6" s="14"/>
      <c r="I6" s="7" t="str">
        <f>IF(ISNA(VLOOKUP(G6,'Data sheet'!A1:B174,2,FALSE)),"",(VLOOKUP(G6,'Data sheet'!A1:B165,2,FALSE)))</f>
        <v/>
      </c>
    </row>
    <row r="7" spans="1:15" ht="27" customHeight="1" x14ac:dyDescent="0.2">
      <c r="A7" s="13"/>
      <c r="B7" s="26"/>
      <c r="C7" s="29"/>
      <c r="D7" s="27"/>
      <c r="E7" s="24"/>
      <c r="F7" s="16"/>
      <c r="G7" s="15"/>
      <c r="H7" s="14"/>
      <c r="I7" s="7" t="str">
        <f>IF(ISNA(VLOOKUP(G7,'Data sheet'!A1:B174,2,FALSE)),"",(VLOOKUP(G7,'Data sheet'!A1:B165,2,FALSE)))</f>
        <v/>
      </c>
    </row>
    <row r="8" spans="1:15" ht="27" customHeight="1" x14ac:dyDescent="0.2">
      <c r="A8" s="13"/>
      <c r="B8" s="26"/>
      <c r="C8" s="29"/>
      <c r="D8" s="27"/>
      <c r="E8" s="24"/>
      <c r="F8" s="16"/>
      <c r="G8" s="15"/>
      <c r="H8" s="14"/>
      <c r="I8" s="7" t="str">
        <f>IF(ISNA(VLOOKUP(G8,'Data sheet'!A1:B174,2,FALSE)),"",(VLOOKUP(G8,'Data sheet'!A1:B165,2,FALSE)))</f>
        <v/>
      </c>
    </row>
    <row r="9" spans="1:15" ht="27" customHeight="1" x14ac:dyDescent="0.2">
      <c r="A9" s="13"/>
      <c r="B9" s="26"/>
      <c r="C9" s="29"/>
      <c r="D9" s="27"/>
      <c r="E9" s="24"/>
      <c r="F9" s="16"/>
      <c r="G9" s="15"/>
      <c r="H9" s="14"/>
      <c r="I9" s="7" t="str">
        <f>IF(ISNA(VLOOKUP(G9,'Data sheet'!A1:B174,2,FALSE)),"",(VLOOKUP(G9,'Data sheet'!A1:B165,2,FALSE)))</f>
        <v/>
      </c>
    </row>
    <row r="10" spans="1:15" ht="27" customHeight="1" x14ac:dyDescent="0.2">
      <c r="A10" s="13"/>
      <c r="B10" s="26"/>
      <c r="C10" s="29"/>
      <c r="D10" s="27"/>
      <c r="E10" s="24"/>
      <c r="F10" s="16"/>
      <c r="G10" s="15"/>
      <c r="H10" s="14"/>
      <c r="I10" s="7" t="str">
        <f>IF(ISNA(VLOOKUP(G10,'Data sheet'!A1:B174,2,FALSE)),"",(VLOOKUP(G10,'Data sheet'!A1:B165,2,FALSE)))</f>
        <v/>
      </c>
    </row>
    <row r="11" spans="1:15" ht="27" customHeight="1" x14ac:dyDescent="0.2">
      <c r="A11" s="13"/>
      <c r="B11" s="26"/>
      <c r="C11" s="29"/>
      <c r="D11" s="27"/>
      <c r="E11" s="24"/>
      <c r="F11" s="16"/>
      <c r="G11" s="15"/>
      <c r="H11" s="14"/>
      <c r="I11" s="7" t="str">
        <f>IF(ISNA(VLOOKUP(G11,'Data sheet'!A1:B174,2,FALSE)),"",(VLOOKUP(G11,'Data sheet'!A1:B165,2,FALSE)))</f>
        <v/>
      </c>
    </row>
    <row r="12" spans="1:15" ht="27" customHeight="1" x14ac:dyDescent="0.2">
      <c r="A12" s="13"/>
      <c r="B12" s="26"/>
      <c r="C12" s="29"/>
      <c r="D12" s="27"/>
      <c r="E12" s="24"/>
      <c r="F12" s="16"/>
      <c r="G12" s="15"/>
      <c r="H12" s="14"/>
      <c r="I12" s="7" t="str">
        <f>IF(ISNA(VLOOKUP(G12,'Data sheet'!A1:B174,2,FALSE)),"",(VLOOKUP(G12,'Data sheet'!A1:B165,2,FALSE)))</f>
        <v/>
      </c>
    </row>
    <row r="13" spans="1:15" ht="27" customHeight="1" x14ac:dyDescent="0.2">
      <c r="A13" s="13"/>
      <c r="B13" s="26"/>
      <c r="C13" s="29"/>
      <c r="D13" s="27"/>
      <c r="E13" s="24"/>
      <c r="F13" s="16"/>
      <c r="G13" s="15"/>
      <c r="H13" s="14"/>
      <c r="I13" s="7" t="str">
        <f>IF(ISNA(VLOOKUP(G13,'Data sheet'!A1:B174,2,FALSE)),"",(VLOOKUP(G13,'Data sheet'!A1:B165,2,FALSE)))</f>
        <v/>
      </c>
    </row>
    <row r="14" spans="1:15" ht="27" customHeight="1" x14ac:dyDescent="0.2">
      <c r="A14" s="13"/>
      <c r="B14" s="26"/>
      <c r="C14" s="29"/>
      <c r="D14" s="27"/>
      <c r="E14" s="24"/>
      <c r="F14" s="16"/>
      <c r="G14" s="15"/>
      <c r="H14" s="14"/>
      <c r="I14" s="7" t="str">
        <f>IF(ISNA(VLOOKUP(G14,'Data sheet'!A1:B180,2,FALSE)),"",(VLOOKUP(G14,'Data sheet'!A1:B171,2,FALSE)))</f>
        <v/>
      </c>
    </row>
    <row r="15" spans="1:15" ht="27" customHeight="1" x14ac:dyDescent="0.2">
      <c r="A15" s="13"/>
      <c r="B15" s="26"/>
      <c r="C15" s="29"/>
      <c r="D15" s="27"/>
      <c r="E15" s="24"/>
      <c r="F15" s="16"/>
      <c r="G15" s="15"/>
      <c r="H15" s="14"/>
      <c r="I15" s="7" t="str">
        <f>IF(ISNA(VLOOKUP(G15,'Data sheet'!A1:B181,2,FALSE)),"",(VLOOKUP(G15,'Data sheet'!A1:B172,2,FALSE)))</f>
        <v/>
      </c>
    </row>
    <row r="16" spans="1:15" ht="27" customHeight="1" x14ac:dyDescent="0.2">
      <c r="A16" s="13"/>
      <c r="B16" s="26"/>
      <c r="C16" s="29"/>
      <c r="D16" s="27"/>
      <c r="E16" s="24"/>
      <c r="F16" s="16"/>
      <c r="G16" s="15"/>
      <c r="H16" s="14"/>
      <c r="I16" s="7" t="str">
        <f>IF(ISNA(VLOOKUP(G16,'Data sheet'!A1:B182,2,FALSE)),"",(VLOOKUP(G16,'Data sheet'!A1:B173,2,FALSE)))</f>
        <v/>
      </c>
    </row>
    <row r="17" spans="1:9" ht="27" customHeight="1" x14ac:dyDescent="0.2">
      <c r="A17" s="13"/>
      <c r="B17" s="26"/>
      <c r="C17" s="29"/>
      <c r="D17" s="27"/>
      <c r="E17" s="24"/>
      <c r="F17" s="16"/>
      <c r="G17" s="15"/>
      <c r="H17" s="14"/>
      <c r="I17" s="7" t="str">
        <f>IF(ISNA(VLOOKUP(G17,'Data sheet'!A1:B183,2,FALSE)),"",(VLOOKUP(G17,'Data sheet'!A1:B174,2,FALSE)))</f>
        <v/>
      </c>
    </row>
    <row r="18" spans="1:9" ht="27" customHeight="1" x14ac:dyDescent="0.2">
      <c r="A18" s="13"/>
      <c r="B18" s="26"/>
      <c r="C18" s="29"/>
      <c r="D18" s="27"/>
      <c r="E18" s="24"/>
      <c r="F18" s="16"/>
      <c r="G18" s="15"/>
      <c r="H18" s="14"/>
      <c r="I18" s="7" t="str">
        <f>IF(ISNA(VLOOKUP(G18,'Data sheet'!A1:B184,2,FALSE)),"",(VLOOKUP(G18,'Data sheet'!A1:B175,2,FALSE)))</f>
        <v/>
      </c>
    </row>
    <row r="19" spans="1:9" ht="27" customHeight="1" x14ac:dyDescent="0.2">
      <c r="A19" s="13"/>
      <c r="B19" s="26"/>
      <c r="C19" s="29"/>
      <c r="D19" s="27"/>
      <c r="E19" s="24"/>
      <c r="F19" s="16"/>
      <c r="G19" s="15"/>
      <c r="H19" s="14"/>
      <c r="I19" s="7" t="str">
        <f>IF(ISNA(VLOOKUP(G19,'Data sheet'!A1:B185,2,FALSE)),"",(VLOOKUP(G19,'Data sheet'!A1:B176,2,FALSE)))</f>
        <v/>
      </c>
    </row>
    <row r="20" spans="1:9" ht="27" customHeight="1" x14ac:dyDescent="0.2">
      <c r="A20" s="13"/>
      <c r="B20" s="26"/>
      <c r="C20" s="29"/>
      <c r="D20" s="27"/>
      <c r="E20" s="24"/>
      <c r="F20" s="16"/>
      <c r="G20" s="15"/>
      <c r="H20" s="14"/>
      <c r="I20" s="7" t="str">
        <f>IF(ISNA(VLOOKUP(G20,'Data sheet'!A1:B186,2,FALSE)),"",(VLOOKUP(G20,'Data sheet'!A1:B177,2,FALSE)))</f>
        <v/>
      </c>
    </row>
    <row r="21" spans="1:9" ht="27" customHeight="1" thickBot="1" x14ac:dyDescent="0.25">
      <c r="A21" s="17"/>
      <c r="B21" s="30"/>
      <c r="C21" s="31"/>
      <c r="D21" s="28"/>
      <c r="E21" s="25"/>
      <c r="F21" s="19"/>
      <c r="G21" s="20"/>
      <c r="H21" s="18"/>
      <c r="I21" s="12" t="str">
        <f>IF(ISNA(VLOOKUP(G21,'Data sheet'!A1:B187,2,FALSE)),"",(VLOOKUP(G21,'Data sheet'!A1:B178,2,FALSE)))</f>
        <v/>
      </c>
    </row>
  </sheetData>
  <sheetProtection formatCells="0"/>
  <mergeCells count="6">
    <mergeCell ref="E4:I4"/>
    <mergeCell ref="A1:D3"/>
    <mergeCell ref="E1:I1"/>
    <mergeCell ref="H2:I2"/>
    <mergeCell ref="H3:I3"/>
    <mergeCell ref="B4:D4"/>
  </mergeCells>
  <phoneticPr fontId="7" type="noConversion"/>
  <conditionalFormatting sqref="B4:D4">
    <cfRule type="containsBlanks" dxfId="5" priority="2">
      <formula>LEN(TRIM(B4))=0</formula>
    </cfRule>
  </conditionalFormatting>
  <conditionalFormatting sqref="E6:E21">
    <cfRule type="expression" dxfId="4" priority="1">
      <formula>A6:E21&lt;&gt;""</formula>
    </cfRule>
  </conditionalFormatting>
  <conditionalFormatting sqref="F3">
    <cfRule type="containsBlanks" dxfId="3" priority="3">
      <formula>LEN(TRIM(F3))=0</formula>
    </cfRule>
  </conditionalFormatting>
  <conditionalFormatting sqref="H2:I3">
    <cfRule type="containsBlanks" dxfId="2" priority="4">
      <formula>LEN(TRIM(H2))=0</formula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EDD7E180-21D2-42B4-B27D-16125890F7D9}">
          <x14:formula1>
            <xm:f>'Data sheet'!$A$1:$A$123</xm:f>
          </x14:formula1>
          <xm:sqref>L16</xm:sqref>
        </x14:dataValidation>
        <x14:dataValidation type="list" allowBlank="1" showInputMessage="1" showErrorMessage="1" xr:uid="{F73A8A15-2136-4EF5-98A7-CC603267AA78}">
          <x14:formula1>
            <xm:f>'Data sheet'!A1:A65</xm:f>
          </x14:formula1>
          <xm:sqref>G6</xm:sqref>
        </x14:dataValidation>
        <x14:dataValidation type="list" allowBlank="1" showInputMessage="1" showErrorMessage="1" xr:uid="{B2552440-D046-43C9-87E0-AD695818BC8C}">
          <x14:formula1>
            <xm:f>'Data sheet'!A1:A72</xm:f>
          </x14:formula1>
          <xm:sqref>G13</xm:sqref>
        </x14:dataValidation>
        <x14:dataValidation type="list" allowBlank="1" showInputMessage="1" showErrorMessage="1" xr:uid="{A0FB219A-ADD8-4E6B-9C0C-3457D31F4EC8}">
          <x14:formula1>
            <xm:f>'Data sheet'!A1:A66</xm:f>
          </x14:formula1>
          <xm:sqref>G7</xm:sqref>
        </x14:dataValidation>
        <x14:dataValidation type="list" allowBlank="1" showInputMessage="1" showErrorMessage="1" xr:uid="{98CDB0CE-8AA3-42F3-BF9C-95A406954B53}">
          <x14:formula1>
            <xm:f>'Data sheet'!A1:A67</xm:f>
          </x14:formula1>
          <xm:sqref>G8</xm:sqref>
        </x14:dataValidation>
        <x14:dataValidation type="list" allowBlank="1" showInputMessage="1" showErrorMessage="1" xr:uid="{F1393A2C-D782-45F4-AC95-BDB461A00F92}">
          <x14:formula1>
            <xm:f>'Data sheet'!A1:A68</xm:f>
          </x14:formula1>
          <xm:sqref>G9</xm:sqref>
        </x14:dataValidation>
        <x14:dataValidation type="list" allowBlank="1" showInputMessage="1" showErrorMessage="1" xr:uid="{0237D6CD-3122-479D-87F6-1D7770FC0C0C}">
          <x14:formula1>
            <xm:f>'Data sheet'!A1:A69</xm:f>
          </x14:formula1>
          <xm:sqref>G10</xm:sqref>
        </x14:dataValidation>
        <x14:dataValidation type="list" allowBlank="1" showInputMessage="1" showErrorMessage="1" xr:uid="{164A7ED9-5E8F-49FA-8483-C53634B7E3BC}">
          <x14:formula1>
            <xm:f>'Data sheet'!A1:A70</xm:f>
          </x14:formula1>
          <xm:sqref>G11</xm:sqref>
        </x14:dataValidation>
        <x14:dataValidation type="list" allowBlank="1" showInputMessage="1" showErrorMessage="1" xr:uid="{824D917B-7FAC-46FA-B6D4-79C3D983565E}">
          <x14:formula1>
            <xm:f>'Data sheet'!A1:A71</xm:f>
          </x14:formula1>
          <xm:sqref>G12</xm:sqref>
        </x14:dataValidation>
        <x14:dataValidation type="list" allowBlank="1" showInputMessage="1" showErrorMessage="1" xr:uid="{056E06A0-2E01-400C-B3BA-CE642D4B302A}">
          <x14:formula1>
            <xm:f>'Data sheet'!A1:A73</xm:f>
          </x14:formula1>
          <xm:sqref>G14</xm:sqref>
        </x14:dataValidation>
        <x14:dataValidation type="list" allowBlank="1" showInputMessage="1" showErrorMessage="1" xr:uid="{6105A836-C570-4E75-AA71-372038B83F22}">
          <x14:formula1>
            <xm:f>'Data sheet'!A1:A74</xm:f>
          </x14:formula1>
          <xm:sqref>G15</xm:sqref>
        </x14:dataValidation>
        <x14:dataValidation type="list" allowBlank="1" showInputMessage="1" showErrorMessage="1" xr:uid="{86FBA8D8-5133-4A73-AD0E-92D9FD167987}">
          <x14:formula1>
            <xm:f>'Data sheet'!A1:A75</xm:f>
          </x14:formula1>
          <xm:sqref>G16</xm:sqref>
        </x14:dataValidation>
        <x14:dataValidation type="list" allowBlank="1" showInputMessage="1" showErrorMessage="1" xr:uid="{0947779C-791D-45DD-BB65-3E98D18EF713}">
          <x14:formula1>
            <xm:f>'Data sheet'!A1:A76</xm:f>
          </x14:formula1>
          <xm:sqref>G17</xm:sqref>
        </x14:dataValidation>
        <x14:dataValidation type="list" allowBlank="1" showInputMessage="1" showErrorMessage="1" xr:uid="{64778D1A-75DA-4C4E-8BED-FD2E492FA9EF}">
          <x14:formula1>
            <xm:f>'Data sheet'!A1:A77</xm:f>
          </x14:formula1>
          <xm:sqref>G18</xm:sqref>
        </x14:dataValidation>
        <x14:dataValidation type="list" allowBlank="1" showInputMessage="1" showErrorMessage="1" xr:uid="{D3C929AA-53B5-4AD0-AD24-BF16EC8F884B}">
          <x14:formula1>
            <xm:f>'Data sheet'!A1:A78</xm:f>
          </x14:formula1>
          <xm:sqref>G19</xm:sqref>
        </x14:dataValidation>
        <x14:dataValidation type="list" allowBlank="1" showInputMessage="1" showErrorMessage="1" xr:uid="{F0106E17-B065-4F32-95D7-47DC10F4E7C7}">
          <x14:formula1>
            <xm:f>'Data sheet'!A1:A79</xm:f>
          </x14:formula1>
          <xm:sqref>G20</xm:sqref>
        </x14:dataValidation>
        <x14:dataValidation type="list" allowBlank="1" showInputMessage="1" showErrorMessage="1" xr:uid="{FD30E13D-2DE6-4744-9ECA-77102D7B540D}">
          <x14:formula1>
            <xm:f>'Data sheet'!A1:A80</xm:f>
          </x14:formula1>
          <xm:sqref>G21</xm:sqref>
        </x14:dataValidation>
        <x14:dataValidation type="list" allowBlank="1" showInputMessage="1" showErrorMessage="1" xr:uid="{9A0A923B-5004-434C-85A4-64527C857B5E}">
          <x14:formula1>
            <xm:f>'Data sheet'!$D$1:$D$62</xm:f>
          </x14:formula1>
          <xm:sqref>F2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8F9C7-BC4B-446A-B6D9-51220FCDFC5F}">
  <dimension ref="A1:O21"/>
  <sheetViews>
    <sheetView workbookViewId="0">
      <selection activeCell="F7" sqref="F7"/>
    </sheetView>
  </sheetViews>
  <sheetFormatPr defaultColWidth="8.7109375" defaultRowHeight="12.75" x14ac:dyDescent="0.2"/>
  <cols>
    <col min="1" max="1" width="11.42578125" style="2" bestFit="1" customWidth="1"/>
    <col min="2" max="2" width="8.7109375" style="2"/>
    <col min="3" max="3" width="11.42578125" style="2" customWidth="1"/>
    <col min="4" max="4" width="9.5703125" style="2" customWidth="1"/>
    <col min="5" max="5" width="15.5703125" style="2" customWidth="1"/>
    <col min="6" max="6" width="46.7109375" style="2" customWidth="1"/>
    <col min="7" max="7" width="13.5703125" style="11" customWidth="1"/>
    <col min="8" max="8" width="9.42578125" style="2" customWidth="1"/>
    <col min="9" max="9" width="7.140625" style="2" customWidth="1"/>
    <col min="10" max="16384" width="8.7109375" style="2"/>
  </cols>
  <sheetData>
    <row r="1" spans="1:15" ht="17.45" customHeight="1" x14ac:dyDescent="0.2">
      <c r="A1" s="35"/>
      <c r="B1" s="36"/>
      <c r="C1" s="36"/>
      <c r="D1" s="36"/>
      <c r="E1" s="41" t="s">
        <v>0</v>
      </c>
      <c r="F1" s="42"/>
      <c r="G1" s="42"/>
      <c r="H1" s="42"/>
      <c r="I1" s="43"/>
      <c r="J1" s="1"/>
      <c r="K1" s="1"/>
      <c r="L1" s="1"/>
      <c r="M1" s="1"/>
      <c r="N1" s="1"/>
      <c r="O1" s="1"/>
    </row>
    <row r="2" spans="1:15" ht="17.100000000000001" customHeight="1" x14ac:dyDescent="0.2">
      <c r="A2" s="37"/>
      <c r="B2" s="38"/>
      <c r="C2" s="38"/>
      <c r="D2" s="38"/>
      <c r="E2" s="3" t="s">
        <v>7</v>
      </c>
      <c r="F2" s="21" t="s">
        <v>56</v>
      </c>
      <c r="G2" s="9" t="s">
        <v>9</v>
      </c>
      <c r="H2" s="44"/>
      <c r="I2" s="45"/>
    </row>
    <row r="3" spans="1:15" ht="17.100000000000001" customHeight="1" thickBot="1" x14ac:dyDescent="0.25">
      <c r="A3" s="39"/>
      <c r="B3" s="40"/>
      <c r="C3" s="40"/>
      <c r="D3" s="40"/>
      <c r="E3" s="4" t="s">
        <v>8</v>
      </c>
      <c r="F3" s="22"/>
      <c r="G3" s="10" t="s">
        <v>10</v>
      </c>
      <c r="H3" s="46"/>
      <c r="I3" s="47"/>
    </row>
    <row r="4" spans="1:15" ht="16.5" customHeight="1" thickBot="1" x14ac:dyDescent="0.25">
      <c r="A4" s="23" t="s">
        <v>14</v>
      </c>
      <c r="B4" s="48"/>
      <c r="C4" s="48"/>
      <c r="D4" s="49"/>
      <c r="E4" s="32" t="s">
        <v>15</v>
      </c>
      <c r="F4" s="33"/>
      <c r="G4" s="33"/>
      <c r="H4" s="33"/>
      <c r="I4" s="34"/>
    </row>
    <row r="5" spans="1:15" ht="21.75" thickBot="1" x14ac:dyDescent="0.25">
      <c r="A5" s="5" t="s">
        <v>1</v>
      </c>
      <c r="B5" s="5" t="s">
        <v>11</v>
      </c>
      <c r="C5" s="5" t="s">
        <v>12</v>
      </c>
      <c r="D5" s="5" t="s">
        <v>2</v>
      </c>
      <c r="E5" s="5" t="s">
        <v>3</v>
      </c>
      <c r="F5" s="5" t="s">
        <v>4</v>
      </c>
      <c r="G5" s="6" t="s">
        <v>13</v>
      </c>
      <c r="H5" s="5" t="s">
        <v>5</v>
      </c>
      <c r="I5" s="6" t="s">
        <v>6</v>
      </c>
    </row>
    <row r="6" spans="1:15" ht="27" customHeight="1" x14ac:dyDescent="0.2">
      <c r="A6" s="13"/>
      <c r="B6" s="26"/>
      <c r="C6" s="29"/>
      <c r="D6" s="27"/>
      <c r="E6" s="24"/>
      <c r="F6" s="16"/>
      <c r="G6" s="15"/>
      <c r="H6" s="14"/>
      <c r="I6" s="7" t="str">
        <f>IF(ISNA(VLOOKUP(G6,'Data sheet'!A1:B174,2,FALSE)),"",(VLOOKUP(G6,'Data sheet'!A1:B165,2,FALSE)))</f>
        <v/>
      </c>
    </row>
    <row r="7" spans="1:15" ht="27" customHeight="1" x14ac:dyDescent="0.2">
      <c r="A7" s="13"/>
      <c r="B7" s="26"/>
      <c r="C7" s="29"/>
      <c r="D7" s="27"/>
      <c r="E7" s="24"/>
      <c r="F7" s="16"/>
      <c r="G7" s="15"/>
      <c r="H7" s="14"/>
      <c r="I7" s="7" t="str">
        <f>IF(ISNA(VLOOKUP(G7,'Data sheet'!A1:B174,2,FALSE)),"",(VLOOKUP(G7,'Data sheet'!A1:B165,2,FALSE)))</f>
        <v/>
      </c>
    </row>
    <row r="8" spans="1:15" ht="27" customHeight="1" x14ac:dyDescent="0.2">
      <c r="A8" s="13"/>
      <c r="B8" s="26"/>
      <c r="C8" s="29"/>
      <c r="D8" s="27"/>
      <c r="E8" s="24"/>
      <c r="F8" s="16"/>
      <c r="G8" s="15"/>
      <c r="H8" s="14"/>
      <c r="I8" s="7" t="str">
        <f>IF(ISNA(VLOOKUP(G8,'Data sheet'!A1:B174,2,FALSE)),"",(VLOOKUP(G8,'Data sheet'!A1:B165,2,FALSE)))</f>
        <v/>
      </c>
    </row>
    <row r="9" spans="1:15" ht="27" customHeight="1" x14ac:dyDescent="0.2">
      <c r="A9" s="13"/>
      <c r="B9" s="26"/>
      <c r="C9" s="29"/>
      <c r="D9" s="27"/>
      <c r="E9" s="24"/>
      <c r="F9" s="16"/>
      <c r="G9" s="15"/>
      <c r="H9" s="14"/>
      <c r="I9" s="7" t="str">
        <f>IF(ISNA(VLOOKUP(G9,'Data sheet'!A1:B174,2,FALSE)),"",(VLOOKUP(G9,'Data sheet'!A1:B165,2,FALSE)))</f>
        <v/>
      </c>
    </row>
    <row r="10" spans="1:15" ht="27" customHeight="1" x14ac:dyDescent="0.2">
      <c r="A10" s="13"/>
      <c r="B10" s="26"/>
      <c r="C10" s="29"/>
      <c r="D10" s="27"/>
      <c r="E10" s="24"/>
      <c r="F10" s="16"/>
      <c r="G10" s="15"/>
      <c r="H10" s="14"/>
      <c r="I10" s="7" t="str">
        <f>IF(ISNA(VLOOKUP(G10,'Data sheet'!A1:B174,2,FALSE)),"",(VLOOKUP(G10,'Data sheet'!A1:B165,2,FALSE)))</f>
        <v/>
      </c>
    </row>
    <row r="11" spans="1:15" ht="27" customHeight="1" x14ac:dyDescent="0.2">
      <c r="A11" s="13"/>
      <c r="B11" s="26"/>
      <c r="C11" s="29"/>
      <c r="D11" s="27"/>
      <c r="E11" s="24"/>
      <c r="F11" s="16"/>
      <c r="G11" s="15"/>
      <c r="H11" s="14"/>
      <c r="I11" s="7" t="str">
        <f>IF(ISNA(VLOOKUP(G11,'Data sheet'!A1:B174,2,FALSE)),"",(VLOOKUP(G11,'Data sheet'!A1:B165,2,FALSE)))</f>
        <v/>
      </c>
    </row>
    <row r="12" spans="1:15" ht="27" customHeight="1" x14ac:dyDescent="0.2">
      <c r="A12" s="13"/>
      <c r="B12" s="26"/>
      <c r="C12" s="29"/>
      <c r="D12" s="27"/>
      <c r="E12" s="24"/>
      <c r="F12" s="16"/>
      <c r="G12" s="15"/>
      <c r="H12" s="14"/>
      <c r="I12" s="7" t="str">
        <f>IF(ISNA(VLOOKUP(G12,'Data sheet'!A1:B174,2,FALSE)),"",(VLOOKUP(G12,'Data sheet'!A1:B165,2,FALSE)))</f>
        <v/>
      </c>
    </row>
    <row r="13" spans="1:15" ht="27" customHeight="1" x14ac:dyDescent="0.2">
      <c r="A13" s="13"/>
      <c r="B13" s="26"/>
      <c r="C13" s="29"/>
      <c r="D13" s="27"/>
      <c r="E13" s="24"/>
      <c r="F13" s="16"/>
      <c r="G13" s="15"/>
      <c r="H13" s="14"/>
      <c r="I13" s="7" t="str">
        <f>IF(ISNA(VLOOKUP(G13,'Data sheet'!A1:B174,2,FALSE)),"",(VLOOKUP(G13,'Data sheet'!A1:B165,2,FALSE)))</f>
        <v/>
      </c>
    </row>
    <row r="14" spans="1:15" ht="27" customHeight="1" x14ac:dyDescent="0.2">
      <c r="A14" s="13"/>
      <c r="B14" s="26"/>
      <c r="C14" s="29"/>
      <c r="D14" s="27"/>
      <c r="E14" s="24"/>
      <c r="F14" s="16"/>
      <c r="G14" s="15"/>
      <c r="H14" s="14"/>
      <c r="I14" s="7" t="str">
        <f>IF(ISNA(VLOOKUP(G14,'Data sheet'!A1:B180,2,FALSE)),"",(VLOOKUP(G14,'Data sheet'!A1:B171,2,FALSE)))</f>
        <v/>
      </c>
    </row>
    <row r="15" spans="1:15" ht="27" customHeight="1" x14ac:dyDescent="0.2">
      <c r="A15" s="13"/>
      <c r="B15" s="26"/>
      <c r="C15" s="29"/>
      <c r="D15" s="27"/>
      <c r="E15" s="24"/>
      <c r="F15" s="16"/>
      <c r="G15" s="15"/>
      <c r="H15" s="14"/>
      <c r="I15" s="7" t="str">
        <f>IF(ISNA(VLOOKUP(G15,'Data sheet'!A1:B181,2,FALSE)),"",(VLOOKUP(G15,'Data sheet'!A1:B172,2,FALSE)))</f>
        <v/>
      </c>
    </row>
    <row r="16" spans="1:15" ht="27" customHeight="1" x14ac:dyDescent="0.2">
      <c r="A16" s="13"/>
      <c r="B16" s="26"/>
      <c r="C16" s="29"/>
      <c r="D16" s="27"/>
      <c r="E16" s="24"/>
      <c r="F16" s="16"/>
      <c r="G16" s="15"/>
      <c r="H16" s="14"/>
      <c r="I16" s="7" t="str">
        <f>IF(ISNA(VLOOKUP(G16,'Data sheet'!A1:B182,2,FALSE)),"",(VLOOKUP(G16,'Data sheet'!A1:B173,2,FALSE)))</f>
        <v/>
      </c>
    </row>
    <row r="17" spans="1:9" ht="27" customHeight="1" x14ac:dyDescent="0.2">
      <c r="A17" s="13"/>
      <c r="B17" s="26"/>
      <c r="C17" s="29"/>
      <c r="D17" s="27"/>
      <c r="E17" s="24"/>
      <c r="F17" s="16"/>
      <c r="G17" s="15"/>
      <c r="H17" s="14"/>
      <c r="I17" s="7" t="str">
        <f>IF(ISNA(VLOOKUP(G17,'Data sheet'!A1:B183,2,FALSE)),"",(VLOOKUP(G17,'Data sheet'!A1:B174,2,FALSE)))</f>
        <v/>
      </c>
    </row>
    <row r="18" spans="1:9" ht="27" customHeight="1" x14ac:dyDescent="0.2">
      <c r="A18" s="13"/>
      <c r="B18" s="26"/>
      <c r="C18" s="29"/>
      <c r="D18" s="27"/>
      <c r="E18" s="24"/>
      <c r="F18" s="16"/>
      <c r="G18" s="15"/>
      <c r="H18" s="14"/>
      <c r="I18" s="7" t="str">
        <f>IF(ISNA(VLOOKUP(G18,'Data sheet'!A1:B184,2,FALSE)),"",(VLOOKUP(G18,'Data sheet'!A1:B175,2,FALSE)))</f>
        <v/>
      </c>
    </row>
    <row r="19" spans="1:9" ht="27" customHeight="1" x14ac:dyDescent="0.2">
      <c r="A19" s="13"/>
      <c r="B19" s="26"/>
      <c r="C19" s="29"/>
      <c r="D19" s="27"/>
      <c r="E19" s="24"/>
      <c r="F19" s="16"/>
      <c r="G19" s="15"/>
      <c r="H19" s="14"/>
      <c r="I19" s="7" t="str">
        <f>IF(ISNA(VLOOKUP(G19,'Data sheet'!A1:B185,2,FALSE)),"",(VLOOKUP(G19,'Data sheet'!A1:B176,2,FALSE)))</f>
        <v/>
      </c>
    </row>
    <row r="20" spans="1:9" ht="27" customHeight="1" x14ac:dyDescent="0.2">
      <c r="A20" s="13"/>
      <c r="B20" s="26"/>
      <c r="C20" s="29"/>
      <c r="D20" s="27"/>
      <c r="E20" s="24"/>
      <c r="F20" s="16"/>
      <c r="G20" s="15"/>
      <c r="H20" s="14"/>
      <c r="I20" s="7" t="str">
        <f>IF(ISNA(VLOOKUP(G20,'Data sheet'!A1:B186,2,FALSE)),"",(VLOOKUP(G20,'Data sheet'!A1:B177,2,FALSE)))</f>
        <v/>
      </c>
    </row>
    <row r="21" spans="1:9" ht="27" customHeight="1" thickBot="1" x14ac:dyDescent="0.25">
      <c r="A21" s="17"/>
      <c r="B21" s="30"/>
      <c r="C21" s="31"/>
      <c r="D21" s="28"/>
      <c r="E21" s="25"/>
      <c r="F21" s="19"/>
      <c r="G21" s="20"/>
      <c r="H21" s="18"/>
      <c r="I21" s="12" t="str">
        <f>IF(ISNA(VLOOKUP(G21,'Data sheet'!A1:B187,2,FALSE)),"",(VLOOKUP(G21,'Data sheet'!A1:B178,2,FALSE)))</f>
        <v/>
      </c>
    </row>
  </sheetData>
  <sheetProtection formatCells="0"/>
  <mergeCells count="6">
    <mergeCell ref="A1:D3"/>
    <mergeCell ref="E1:I1"/>
    <mergeCell ref="H2:I2"/>
    <mergeCell ref="H3:I3"/>
    <mergeCell ref="B4:D4"/>
    <mergeCell ref="E4:I4"/>
  </mergeCells>
  <conditionalFormatting sqref="E6:E21">
    <cfRule type="expression" dxfId="1" priority="1">
      <formula>A6:E21&lt;&gt;""</formula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3A1F0719-488C-4A0D-A94A-CC5CAAE86F57}">
          <x14:formula1>
            <xm:f>'Data sheet'!$A$1:$A$123</xm:f>
          </x14:formula1>
          <xm:sqref>L16</xm:sqref>
        </x14:dataValidation>
        <x14:dataValidation type="list" allowBlank="1" showInputMessage="1" showErrorMessage="1" xr:uid="{7C84FDF7-C873-457A-8C0F-4F30A6463FBE}">
          <x14:formula1>
            <xm:f>'Data sheet'!A1:A80</xm:f>
          </x14:formula1>
          <xm:sqref>G21</xm:sqref>
        </x14:dataValidation>
        <x14:dataValidation type="list" allowBlank="1" showInputMessage="1" showErrorMessage="1" xr:uid="{64BFB945-459A-4A7B-9085-626D5CF7A08D}">
          <x14:formula1>
            <xm:f>'Data sheet'!A1:A79</xm:f>
          </x14:formula1>
          <xm:sqref>G20</xm:sqref>
        </x14:dataValidation>
        <x14:dataValidation type="list" allowBlank="1" showInputMessage="1" showErrorMessage="1" xr:uid="{C206106B-7CC6-4001-9887-A75A80DB68A9}">
          <x14:formula1>
            <xm:f>'Data sheet'!A1:A78</xm:f>
          </x14:formula1>
          <xm:sqref>G19</xm:sqref>
        </x14:dataValidation>
        <x14:dataValidation type="list" allowBlank="1" showInputMessage="1" showErrorMessage="1" xr:uid="{3DB46EAE-0C99-4DF2-AB7C-A52744245FF0}">
          <x14:formula1>
            <xm:f>'Data sheet'!A1:A77</xm:f>
          </x14:formula1>
          <xm:sqref>G18</xm:sqref>
        </x14:dataValidation>
        <x14:dataValidation type="list" allowBlank="1" showInputMessage="1" showErrorMessage="1" xr:uid="{2936FCB0-FA24-418A-88DD-7C70CA468737}">
          <x14:formula1>
            <xm:f>'Data sheet'!A1:A76</xm:f>
          </x14:formula1>
          <xm:sqref>G17</xm:sqref>
        </x14:dataValidation>
        <x14:dataValidation type="list" allowBlank="1" showInputMessage="1" showErrorMessage="1" xr:uid="{4EE649AB-7D73-4B74-8DF2-5FCF06458922}">
          <x14:formula1>
            <xm:f>'Data sheet'!A1:A75</xm:f>
          </x14:formula1>
          <xm:sqref>G16</xm:sqref>
        </x14:dataValidation>
        <x14:dataValidation type="list" allowBlank="1" showInputMessage="1" showErrorMessage="1" xr:uid="{81DB50F9-B717-4F7A-8070-EB2FD16ABF53}">
          <x14:formula1>
            <xm:f>'Data sheet'!A1:A74</xm:f>
          </x14:formula1>
          <xm:sqref>G15</xm:sqref>
        </x14:dataValidation>
        <x14:dataValidation type="list" allowBlank="1" showInputMessage="1" showErrorMessage="1" xr:uid="{244F50A4-B12B-4CD2-8C97-79EBF6153B5A}">
          <x14:formula1>
            <xm:f>'Data sheet'!A1:A73</xm:f>
          </x14:formula1>
          <xm:sqref>G14</xm:sqref>
        </x14:dataValidation>
        <x14:dataValidation type="list" allowBlank="1" showInputMessage="1" showErrorMessage="1" xr:uid="{542F86E1-7673-4CCB-8788-7E1554E15788}">
          <x14:formula1>
            <xm:f>'Data sheet'!A1:A71</xm:f>
          </x14:formula1>
          <xm:sqref>G12</xm:sqref>
        </x14:dataValidation>
        <x14:dataValidation type="list" allowBlank="1" showInputMessage="1" showErrorMessage="1" xr:uid="{8F2AA414-8740-4F09-8AE7-6C4D570B62BD}">
          <x14:formula1>
            <xm:f>'Data sheet'!A1:A70</xm:f>
          </x14:formula1>
          <xm:sqref>G11</xm:sqref>
        </x14:dataValidation>
        <x14:dataValidation type="list" allowBlank="1" showInputMessage="1" showErrorMessage="1" xr:uid="{62B7C3F9-D2BD-4518-83E4-07162DA44CD8}">
          <x14:formula1>
            <xm:f>'Data sheet'!A1:A69</xm:f>
          </x14:formula1>
          <xm:sqref>G10</xm:sqref>
        </x14:dataValidation>
        <x14:dataValidation type="list" allowBlank="1" showInputMessage="1" showErrorMessage="1" xr:uid="{6EB9CD9D-BF76-4851-8A42-42973864363F}">
          <x14:formula1>
            <xm:f>'Data sheet'!A1:A68</xm:f>
          </x14:formula1>
          <xm:sqref>G9</xm:sqref>
        </x14:dataValidation>
        <x14:dataValidation type="list" allowBlank="1" showInputMessage="1" showErrorMessage="1" xr:uid="{CD34F626-B2B6-4DD8-B1E9-78923160649E}">
          <x14:formula1>
            <xm:f>'Data sheet'!A1:A67</xm:f>
          </x14:formula1>
          <xm:sqref>G8</xm:sqref>
        </x14:dataValidation>
        <x14:dataValidation type="list" allowBlank="1" showInputMessage="1" showErrorMessage="1" xr:uid="{C31A0DC2-8510-454A-A346-FE9FF9A60313}">
          <x14:formula1>
            <xm:f>'Data sheet'!A1:A66</xm:f>
          </x14:formula1>
          <xm:sqref>G7</xm:sqref>
        </x14:dataValidation>
        <x14:dataValidation type="list" allowBlank="1" showInputMessage="1" showErrorMessage="1" xr:uid="{BDB0753E-993F-4388-904F-3B770DE10C2F}">
          <x14:formula1>
            <xm:f>'Data sheet'!A1:A72</xm:f>
          </x14:formula1>
          <xm:sqref>G13</xm:sqref>
        </x14:dataValidation>
        <x14:dataValidation type="list" allowBlank="1" showInputMessage="1" showErrorMessage="1" xr:uid="{45466E4D-0576-4C4C-B4ED-6B34F1070BF3}">
          <x14:formula1>
            <xm:f>'Data sheet'!A1:A65</xm:f>
          </x14:formula1>
          <xm:sqref>G6</xm:sqref>
        </x14:dataValidation>
        <x14:dataValidation type="list" allowBlank="1" showInputMessage="1" showErrorMessage="1" xr:uid="{D536D607-D9BD-45BF-BD72-9F1B97038CCF}">
          <x14:formula1>
            <xm:f>'Data sheet'!$D$1:$D$64</xm:f>
          </x14:formula1>
          <xm:sqref>F2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56D66-4CC7-490C-852B-8826D1C4733A}">
  <dimension ref="A1:O21"/>
  <sheetViews>
    <sheetView workbookViewId="0">
      <selection activeCell="F9" sqref="F9"/>
    </sheetView>
  </sheetViews>
  <sheetFormatPr defaultColWidth="8.7109375" defaultRowHeight="12.75" x14ac:dyDescent="0.2"/>
  <cols>
    <col min="1" max="1" width="11.42578125" style="2" bestFit="1" customWidth="1"/>
    <col min="2" max="2" width="8.7109375" style="2"/>
    <col min="3" max="3" width="11.42578125" style="2" customWidth="1"/>
    <col min="4" max="4" width="9.5703125" style="2" customWidth="1"/>
    <col min="5" max="5" width="15.5703125" style="2" customWidth="1"/>
    <col min="6" max="6" width="46.7109375" style="2" customWidth="1"/>
    <col min="7" max="7" width="13.7109375" style="11" customWidth="1"/>
    <col min="8" max="8" width="9.42578125" style="2" customWidth="1"/>
    <col min="9" max="9" width="7.42578125" style="2" customWidth="1"/>
    <col min="10" max="16384" width="8.7109375" style="2"/>
  </cols>
  <sheetData>
    <row r="1" spans="1:15" ht="17.45" customHeight="1" x14ac:dyDescent="0.2">
      <c r="A1" s="35"/>
      <c r="B1" s="36"/>
      <c r="C1" s="36"/>
      <c r="D1" s="36"/>
      <c r="E1" s="41" t="s">
        <v>0</v>
      </c>
      <c r="F1" s="42"/>
      <c r="G1" s="42"/>
      <c r="H1" s="42"/>
      <c r="I1" s="43"/>
      <c r="J1" s="1"/>
      <c r="K1" s="1"/>
      <c r="L1" s="1"/>
      <c r="M1" s="1"/>
      <c r="N1" s="1"/>
      <c r="O1" s="1"/>
    </row>
    <row r="2" spans="1:15" ht="17.100000000000001" customHeight="1" x14ac:dyDescent="0.2">
      <c r="A2" s="37"/>
      <c r="B2" s="38"/>
      <c r="C2" s="38"/>
      <c r="D2" s="38"/>
      <c r="E2" s="3" t="s">
        <v>7</v>
      </c>
      <c r="F2" s="21"/>
      <c r="G2" s="9" t="s">
        <v>9</v>
      </c>
      <c r="H2" s="44"/>
      <c r="I2" s="45"/>
    </row>
    <row r="3" spans="1:15" ht="17.100000000000001" customHeight="1" thickBot="1" x14ac:dyDescent="0.25">
      <c r="A3" s="39"/>
      <c r="B3" s="40"/>
      <c r="C3" s="40"/>
      <c r="D3" s="40"/>
      <c r="E3" s="4" t="s">
        <v>8</v>
      </c>
      <c r="F3" s="22"/>
      <c r="G3" s="10" t="s">
        <v>10</v>
      </c>
      <c r="H3" s="46"/>
      <c r="I3" s="47"/>
    </row>
    <row r="4" spans="1:15" ht="16.5" customHeight="1" thickBot="1" x14ac:dyDescent="0.25">
      <c r="A4" s="23" t="s">
        <v>14</v>
      </c>
      <c r="B4" s="48"/>
      <c r="C4" s="48"/>
      <c r="D4" s="49"/>
      <c r="E4" s="32" t="s">
        <v>15</v>
      </c>
      <c r="F4" s="33"/>
      <c r="G4" s="33"/>
      <c r="H4" s="33"/>
      <c r="I4" s="34"/>
    </row>
    <row r="5" spans="1:15" ht="21.75" thickBot="1" x14ac:dyDescent="0.25">
      <c r="A5" s="5" t="s">
        <v>1</v>
      </c>
      <c r="B5" s="5" t="s">
        <v>11</v>
      </c>
      <c r="C5" s="5" t="s">
        <v>12</v>
      </c>
      <c r="D5" s="5" t="s">
        <v>2</v>
      </c>
      <c r="E5" s="5" t="s">
        <v>3</v>
      </c>
      <c r="F5" s="5" t="s">
        <v>4</v>
      </c>
      <c r="G5" s="6" t="s">
        <v>13</v>
      </c>
      <c r="H5" s="5" t="s">
        <v>5</v>
      </c>
      <c r="I5" s="6" t="s">
        <v>6</v>
      </c>
    </row>
    <row r="6" spans="1:15" ht="27" customHeight="1" x14ac:dyDescent="0.2">
      <c r="A6" s="13"/>
      <c r="B6" s="26"/>
      <c r="C6" s="29"/>
      <c r="D6" s="27"/>
      <c r="E6" s="24"/>
      <c r="F6" s="16"/>
      <c r="G6" s="15"/>
      <c r="H6" s="14"/>
      <c r="I6" s="7" t="str">
        <f>IF(ISNA(VLOOKUP(G6,'Data sheet'!A1:B174,2,FALSE)),"",(VLOOKUP(G6,'Data sheet'!A1:B165,2,FALSE)))</f>
        <v/>
      </c>
    </row>
    <row r="7" spans="1:15" ht="27" customHeight="1" x14ac:dyDescent="0.2">
      <c r="A7" s="13"/>
      <c r="B7" s="26"/>
      <c r="C7" s="29"/>
      <c r="D7" s="27"/>
      <c r="E7" s="24"/>
      <c r="F7" s="16"/>
      <c r="G7" s="15"/>
      <c r="H7" s="14"/>
      <c r="I7" s="7" t="str">
        <f>IF(ISNA(VLOOKUP(G7,'Data sheet'!A1:B174,2,FALSE)),"",(VLOOKUP(G7,'Data sheet'!A1:B165,2,FALSE)))</f>
        <v/>
      </c>
    </row>
    <row r="8" spans="1:15" ht="27" customHeight="1" x14ac:dyDescent="0.2">
      <c r="A8" s="13"/>
      <c r="B8" s="26"/>
      <c r="C8" s="29"/>
      <c r="D8" s="27"/>
      <c r="E8" s="24"/>
      <c r="F8" s="16"/>
      <c r="G8" s="15"/>
      <c r="H8" s="14"/>
      <c r="I8" s="7" t="str">
        <f>IF(ISNA(VLOOKUP(G8,'Data sheet'!A1:B174,2,FALSE)),"",(VLOOKUP(G8,'Data sheet'!A1:B165,2,FALSE)))</f>
        <v/>
      </c>
    </row>
    <row r="9" spans="1:15" ht="27" customHeight="1" x14ac:dyDescent="0.2">
      <c r="A9" s="13"/>
      <c r="B9" s="26"/>
      <c r="C9" s="29"/>
      <c r="D9" s="27"/>
      <c r="E9" s="24"/>
      <c r="F9" s="16"/>
      <c r="G9" s="15"/>
      <c r="H9" s="14"/>
      <c r="I9" s="7" t="str">
        <f>IF(ISNA(VLOOKUP(G9,'Data sheet'!A1:B174,2,FALSE)),"",(VLOOKUP(G9,'Data sheet'!A1:B165,2,FALSE)))</f>
        <v/>
      </c>
    </row>
    <row r="10" spans="1:15" ht="27" customHeight="1" x14ac:dyDescent="0.2">
      <c r="A10" s="13"/>
      <c r="B10" s="26"/>
      <c r="C10" s="29"/>
      <c r="D10" s="27"/>
      <c r="E10" s="24"/>
      <c r="F10" s="16"/>
      <c r="G10" s="15"/>
      <c r="H10" s="14"/>
      <c r="I10" s="7" t="str">
        <f>IF(ISNA(VLOOKUP(G10,'Data sheet'!A1:B174,2,FALSE)),"",(VLOOKUP(G10,'Data sheet'!A1:B165,2,FALSE)))</f>
        <v/>
      </c>
    </row>
    <row r="11" spans="1:15" ht="27" customHeight="1" x14ac:dyDescent="0.2">
      <c r="A11" s="13"/>
      <c r="B11" s="26"/>
      <c r="C11" s="29"/>
      <c r="D11" s="27"/>
      <c r="E11" s="24"/>
      <c r="F11" s="16"/>
      <c r="G11" s="15"/>
      <c r="H11" s="14"/>
      <c r="I11" s="7" t="str">
        <f>IF(ISNA(VLOOKUP(G11,'Data sheet'!A1:B174,2,FALSE)),"",(VLOOKUP(G11,'Data sheet'!A1:B165,2,FALSE)))</f>
        <v/>
      </c>
    </row>
    <row r="12" spans="1:15" ht="27" customHeight="1" x14ac:dyDescent="0.2">
      <c r="A12" s="13"/>
      <c r="B12" s="26"/>
      <c r="C12" s="29"/>
      <c r="D12" s="27"/>
      <c r="E12" s="24"/>
      <c r="F12" s="16"/>
      <c r="G12" s="15"/>
      <c r="H12" s="14"/>
      <c r="I12" s="7" t="str">
        <f>IF(ISNA(VLOOKUP(G12,'Data sheet'!A1:B174,2,FALSE)),"",(VLOOKUP(G12,'Data sheet'!A1:B165,2,FALSE)))</f>
        <v/>
      </c>
    </row>
    <row r="13" spans="1:15" ht="27" customHeight="1" x14ac:dyDescent="0.2">
      <c r="A13" s="13"/>
      <c r="B13" s="26"/>
      <c r="C13" s="29"/>
      <c r="D13" s="27"/>
      <c r="E13" s="24"/>
      <c r="F13" s="16"/>
      <c r="G13" s="15"/>
      <c r="H13" s="14"/>
      <c r="I13" s="7" t="str">
        <f>IF(ISNA(VLOOKUP(G13,'Data sheet'!A1:B174,2,FALSE)),"",(VLOOKUP(G13,'Data sheet'!A1:B165,2,FALSE)))</f>
        <v/>
      </c>
    </row>
    <row r="14" spans="1:15" ht="27" customHeight="1" x14ac:dyDescent="0.2">
      <c r="A14" s="13"/>
      <c r="B14" s="26"/>
      <c r="C14" s="29"/>
      <c r="D14" s="27"/>
      <c r="E14" s="24"/>
      <c r="F14" s="16"/>
      <c r="G14" s="15"/>
      <c r="H14" s="14"/>
      <c r="I14" s="7" t="str">
        <f>IF(ISNA(VLOOKUP(G14,'Data sheet'!A1:B180,2,FALSE)),"",(VLOOKUP(G14,'Data sheet'!A1:B171,2,FALSE)))</f>
        <v/>
      </c>
    </row>
    <row r="15" spans="1:15" ht="27" customHeight="1" x14ac:dyDescent="0.2">
      <c r="A15" s="13"/>
      <c r="B15" s="26"/>
      <c r="C15" s="29"/>
      <c r="D15" s="27"/>
      <c r="E15" s="24"/>
      <c r="F15" s="16"/>
      <c r="G15" s="15"/>
      <c r="H15" s="14"/>
      <c r="I15" s="7" t="str">
        <f>IF(ISNA(VLOOKUP(G15,'Data sheet'!A1:B181,2,FALSE)),"",(VLOOKUP(G15,'Data sheet'!A1:B172,2,FALSE)))</f>
        <v/>
      </c>
    </row>
    <row r="16" spans="1:15" ht="27" customHeight="1" x14ac:dyDescent="0.2">
      <c r="A16" s="13"/>
      <c r="B16" s="26"/>
      <c r="C16" s="29"/>
      <c r="D16" s="27"/>
      <c r="E16" s="24"/>
      <c r="F16" s="16"/>
      <c r="G16" s="15"/>
      <c r="H16" s="14"/>
      <c r="I16" s="7" t="str">
        <f>IF(ISNA(VLOOKUP(G16,'Data sheet'!A1:B182,2,FALSE)),"",(VLOOKUP(G16,'Data sheet'!A1:B173,2,FALSE)))</f>
        <v/>
      </c>
    </row>
    <row r="17" spans="1:9" ht="27" customHeight="1" x14ac:dyDescent="0.2">
      <c r="A17" s="13"/>
      <c r="B17" s="26"/>
      <c r="C17" s="29"/>
      <c r="D17" s="27"/>
      <c r="E17" s="24"/>
      <c r="F17" s="16"/>
      <c r="G17" s="15"/>
      <c r="H17" s="14"/>
      <c r="I17" s="7" t="str">
        <f>IF(ISNA(VLOOKUP(G17,'Data sheet'!A1:B183,2,FALSE)),"",(VLOOKUP(G17,'Data sheet'!A1:B174,2,FALSE)))</f>
        <v/>
      </c>
    </row>
    <row r="18" spans="1:9" ht="27" customHeight="1" x14ac:dyDescent="0.2">
      <c r="A18" s="13"/>
      <c r="B18" s="26"/>
      <c r="C18" s="29"/>
      <c r="D18" s="27"/>
      <c r="E18" s="24"/>
      <c r="F18" s="16"/>
      <c r="G18" s="15"/>
      <c r="H18" s="14"/>
      <c r="I18" s="7" t="str">
        <f>IF(ISNA(VLOOKUP(G18,'Data sheet'!A1:B184,2,FALSE)),"",(VLOOKUP(G18,'Data sheet'!A1:B175,2,FALSE)))</f>
        <v/>
      </c>
    </row>
    <row r="19" spans="1:9" ht="27" customHeight="1" x14ac:dyDescent="0.2">
      <c r="A19" s="13"/>
      <c r="B19" s="26"/>
      <c r="C19" s="29"/>
      <c r="D19" s="27"/>
      <c r="E19" s="24"/>
      <c r="F19" s="16"/>
      <c r="G19" s="15"/>
      <c r="H19" s="14"/>
      <c r="I19" s="7" t="str">
        <f>IF(ISNA(VLOOKUP(G19,'Data sheet'!A1:B185,2,FALSE)),"",(VLOOKUP(G19,'Data sheet'!A1:B176,2,FALSE)))</f>
        <v/>
      </c>
    </row>
    <row r="20" spans="1:9" ht="27" customHeight="1" x14ac:dyDescent="0.2">
      <c r="A20" s="13"/>
      <c r="B20" s="26"/>
      <c r="C20" s="29"/>
      <c r="D20" s="27"/>
      <c r="E20" s="24"/>
      <c r="F20" s="16"/>
      <c r="G20" s="15"/>
      <c r="H20" s="14"/>
      <c r="I20" s="7" t="str">
        <f>IF(ISNA(VLOOKUP(G20,'Data sheet'!A1:B186,2,FALSE)),"",(VLOOKUP(G20,'Data sheet'!A1:B177,2,FALSE)))</f>
        <v/>
      </c>
    </row>
    <row r="21" spans="1:9" ht="27" customHeight="1" thickBot="1" x14ac:dyDescent="0.25">
      <c r="A21" s="17"/>
      <c r="B21" s="30"/>
      <c r="C21" s="31"/>
      <c r="D21" s="28"/>
      <c r="E21" s="25"/>
      <c r="F21" s="19"/>
      <c r="G21" s="20"/>
      <c r="H21" s="18"/>
      <c r="I21" s="12" t="str">
        <f>IF(ISNA(VLOOKUP(G21,'Data sheet'!A1:B187,2,FALSE)),"",(VLOOKUP(G21,'Data sheet'!A1:B178,2,FALSE)))</f>
        <v/>
      </c>
    </row>
  </sheetData>
  <sheetProtection formatCells="0"/>
  <mergeCells count="6">
    <mergeCell ref="A1:D3"/>
    <mergeCell ref="E1:I1"/>
    <mergeCell ref="H2:I2"/>
    <mergeCell ref="H3:I3"/>
    <mergeCell ref="B4:D4"/>
    <mergeCell ref="E4:I4"/>
  </mergeCells>
  <conditionalFormatting sqref="E6:E21">
    <cfRule type="expression" dxfId="0" priority="1">
      <formula>A6:E21&lt;&gt;""</formula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EC14638F-8A0E-4177-BF10-5D34892D6B51}">
          <x14:formula1>
            <xm:f>'Data sheet'!$A$1:$A$123</xm:f>
          </x14:formula1>
          <xm:sqref>L16</xm:sqref>
        </x14:dataValidation>
        <x14:dataValidation type="list" allowBlank="1" showInputMessage="1" showErrorMessage="1" xr:uid="{09483AB0-C6FB-48C7-AEC0-662EFCE297F9}">
          <x14:formula1>
            <xm:f>'Data sheet'!A1:A80</xm:f>
          </x14:formula1>
          <xm:sqref>G21</xm:sqref>
        </x14:dataValidation>
        <x14:dataValidation type="list" allowBlank="1" showInputMessage="1" showErrorMessage="1" xr:uid="{3A87D9E5-66F8-4007-9DA1-FDFB8F1ABA8F}">
          <x14:formula1>
            <xm:f>'Data sheet'!A1:A79</xm:f>
          </x14:formula1>
          <xm:sqref>G20</xm:sqref>
        </x14:dataValidation>
        <x14:dataValidation type="list" allowBlank="1" showInputMessage="1" showErrorMessage="1" xr:uid="{234F70CF-5052-4199-8406-D05152C16D90}">
          <x14:formula1>
            <xm:f>'Data sheet'!A1:A78</xm:f>
          </x14:formula1>
          <xm:sqref>G19</xm:sqref>
        </x14:dataValidation>
        <x14:dataValidation type="list" allowBlank="1" showInputMessage="1" showErrorMessage="1" xr:uid="{5C770C95-4418-47C8-9791-DABC222A024D}">
          <x14:formula1>
            <xm:f>'Data sheet'!A1:A77</xm:f>
          </x14:formula1>
          <xm:sqref>G18</xm:sqref>
        </x14:dataValidation>
        <x14:dataValidation type="list" allowBlank="1" showInputMessage="1" showErrorMessage="1" xr:uid="{B307CCA5-4BB2-4E62-9B0F-69315DA351EE}">
          <x14:formula1>
            <xm:f>'Data sheet'!A1:A76</xm:f>
          </x14:formula1>
          <xm:sqref>G17</xm:sqref>
        </x14:dataValidation>
        <x14:dataValidation type="list" allowBlank="1" showInputMessage="1" showErrorMessage="1" xr:uid="{660DB541-8933-40C9-9932-750DFF30B355}">
          <x14:formula1>
            <xm:f>'Data sheet'!A1:A75</xm:f>
          </x14:formula1>
          <xm:sqref>G16</xm:sqref>
        </x14:dataValidation>
        <x14:dataValidation type="list" allowBlank="1" showInputMessage="1" showErrorMessage="1" xr:uid="{2970F097-ED6E-4EB9-82DC-55F6748D99A2}">
          <x14:formula1>
            <xm:f>'Data sheet'!A1:A74</xm:f>
          </x14:formula1>
          <xm:sqref>G15</xm:sqref>
        </x14:dataValidation>
        <x14:dataValidation type="list" allowBlank="1" showInputMessage="1" showErrorMessage="1" xr:uid="{C8F4E072-0CE2-437C-B13F-CB0BACD8671D}">
          <x14:formula1>
            <xm:f>'Data sheet'!A1:A73</xm:f>
          </x14:formula1>
          <xm:sqref>G14</xm:sqref>
        </x14:dataValidation>
        <x14:dataValidation type="list" allowBlank="1" showInputMessage="1" showErrorMessage="1" xr:uid="{B092296F-5FCA-4943-B34D-21C5CC99EBE3}">
          <x14:formula1>
            <xm:f>'Data sheet'!A1:A71</xm:f>
          </x14:formula1>
          <xm:sqref>G12</xm:sqref>
        </x14:dataValidation>
        <x14:dataValidation type="list" allowBlank="1" showInputMessage="1" showErrorMessage="1" xr:uid="{83901868-A140-411D-A45B-9588948D77B6}">
          <x14:formula1>
            <xm:f>'Data sheet'!A1:A70</xm:f>
          </x14:formula1>
          <xm:sqref>G11</xm:sqref>
        </x14:dataValidation>
        <x14:dataValidation type="list" allowBlank="1" showInputMessage="1" showErrorMessage="1" xr:uid="{3C24698B-FB95-4196-92DE-0A63C20B4430}">
          <x14:formula1>
            <xm:f>'Data sheet'!A1:A69</xm:f>
          </x14:formula1>
          <xm:sqref>G10</xm:sqref>
        </x14:dataValidation>
        <x14:dataValidation type="list" allowBlank="1" showInputMessage="1" showErrorMessage="1" xr:uid="{0BE33CCE-745F-4A27-B7FF-E9A6B6EEBC58}">
          <x14:formula1>
            <xm:f>'Data sheet'!A1:A68</xm:f>
          </x14:formula1>
          <xm:sqref>G9</xm:sqref>
        </x14:dataValidation>
        <x14:dataValidation type="list" allowBlank="1" showInputMessage="1" showErrorMessage="1" xr:uid="{7085ADF2-5F15-423D-8E79-588D28EA41CD}">
          <x14:formula1>
            <xm:f>'Data sheet'!A1:A67</xm:f>
          </x14:formula1>
          <xm:sqref>G8</xm:sqref>
        </x14:dataValidation>
        <x14:dataValidation type="list" allowBlank="1" showInputMessage="1" showErrorMessage="1" xr:uid="{0419793A-0786-4750-A970-08561DF53890}">
          <x14:formula1>
            <xm:f>'Data sheet'!A1:A66</xm:f>
          </x14:formula1>
          <xm:sqref>G7</xm:sqref>
        </x14:dataValidation>
        <x14:dataValidation type="list" allowBlank="1" showInputMessage="1" showErrorMessage="1" xr:uid="{01559500-4D0E-42CD-B7CD-2BE6865BF0B1}">
          <x14:formula1>
            <xm:f>'Data sheet'!A1:A72</xm:f>
          </x14:formula1>
          <xm:sqref>G13</xm:sqref>
        </x14:dataValidation>
        <x14:dataValidation type="list" allowBlank="1" showInputMessage="1" showErrorMessage="1" xr:uid="{B53EA3A7-11F6-4164-8BF2-CEAF05B32E48}">
          <x14:formula1>
            <xm:f>'Data sheet'!A1:A65</xm:f>
          </x14:formula1>
          <xm:sqref>G6</xm:sqref>
        </x14:dataValidation>
        <x14:dataValidation type="list" allowBlank="1" showInputMessage="1" showErrorMessage="1" xr:uid="{BBCC46C1-B7A6-4FE8-82BC-A7DBCF6E8E93}">
          <x14:formula1>
            <xm:f>'Data sheet'!$D$1:$D$35</xm:f>
          </x14:formula1>
          <xm:sqref>F2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EF867-8AE7-43D8-AD64-96FEE0E58ACC}">
  <dimension ref="A1:D43"/>
  <sheetViews>
    <sheetView workbookViewId="0">
      <selection activeCell="A13" sqref="A13"/>
    </sheetView>
  </sheetViews>
  <sheetFormatPr defaultRowHeight="15" x14ac:dyDescent="0.25"/>
  <cols>
    <col min="1" max="1" width="22.7109375" bestFit="1" customWidth="1"/>
  </cols>
  <sheetData>
    <row r="1" spans="1:4" x14ac:dyDescent="0.25">
      <c r="A1" t="s">
        <v>19</v>
      </c>
      <c r="B1" t="s">
        <v>16</v>
      </c>
      <c r="D1" t="s">
        <v>56</v>
      </c>
    </row>
    <row r="2" spans="1:4" x14ac:dyDescent="0.25">
      <c r="A2" t="s">
        <v>18</v>
      </c>
      <c r="B2" t="s">
        <v>17</v>
      </c>
      <c r="D2" t="s">
        <v>57</v>
      </c>
    </row>
    <row r="3" spans="1:4" x14ac:dyDescent="0.25">
      <c r="A3" t="s">
        <v>25</v>
      </c>
      <c r="B3" t="s">
        <v>17</v>
      </c>
      <c r="D3" t="s">
        <v>58</v>
      </c>
    </row>
    <row r="4" spans="1:4" x14ac:dyDescent="0.25">
      <c r="A4" t="s">
        <v>20</v>
      </c>
      <c r="B4" t="s">
        <v>17</v>
      </c>
    </row>
    <row r="5" spans="1:4" x14ac:dyDescent="0.25">
      <c r="A5" t="s">
        <v>43</v>
      </c>
      <c r="B5" t="s">
        <v>21</v>
      </c>
    </row>
    <row r="6" spans="1:4" x14ac:dyDescent="0.25">
      <c r="A6" t="s">
        <v>59</v>
      </c>
      <c r="B6" t="s">
        <v>21</v>
      </c>
    </row>
    <row r="7" spans="1:4" x14ac:dyDescent="0.25">
      <c r="A7" t="s">
        <v>22</v>
      </c>
      <c r="B7" t="s">
        <v>21</v>
      </c>
    </row>
    <row r="8" spans="1:4" x14ac:dyDescent="0.25">
      <c r="A8" t="s">
        <v>23</v>
      </c>
      <c r="B8" t="s">
        <v>21</v>
      </c>
    </row>
    <row r="9" spans="1:4" x14ac:dyDescent="0.25">
      <c r="A9" t="s">
        <v>24</v>
      </c>
      <c r="B9" t="s">
        <v>28</v>
      </c>
    </row>
    <row r="10" spans="1:4" x14ac:dyDescent="0.25">
      <c r="A10" t="s">
        <v>26</v>
      </c>
      <c r="B10" t="s">
        <v>28</v>
      </c>
    </row>
    <row r="11" spans="1:4" x14ac:dyDescent="0.25">
      <c r="A11" t="s">
        <v>27</v>
      </c>
      <c r="B11" t="s">
        <v>28</v>
      </c>
    </row>
    <row r="12" spans="1:4" x14ac:dyDescent="0.25">
      <c r="A12" t="s">
        <v>29</v>
      </c>
      <c r="B12" t="s">
        <v>30</v>
      </c>
    </row>
    <row r="13" spans="1:4" x14ac:dyDescent="0.25">
      <c r="A13" t="s">
        <v>31</v>
      </c>
      <c r="B13" t="s">
        <v>30</v>
      </c>
    </row>
    <row r="14" spans="1:4" x14ac:dyDescent="0.25">
      <c r="A14" t="s">
        <v>32</v>
      </c>
      <c r="B14" t="s">
        <v>30</v>
      </c>
    </row>
    <row r="15" spans="1:4" x14ac:dyDescent="0.25">
      <c r="A15" t="s">
        <v>33</v>
      </c>
      <c r="B15" t="s">
        <v>34</v>
      </c>
    </row>
    <row r="16" spans="1:4" x14ac:dyDescent="0.25">
      <c r="A16" t="s">
        <v>36</v>
      </c>
      <c r="B16" t="s">
        <v>34</v>
      </c>
    </row>
    <row r="17" spans="1:2" x14ac:dyDescent="0.25">
      <c r="A17" t="s">
        <v>37</v>
      </c>
      <c r="B17" t="s">
        <v>34</v>
      </c>
    </row>
    <row r="18" spans="1:2" x14ac:dyDescent="0.25">
      <c r="A18" t="s">
        <v>35</v>
      </c>
      <c r="B18" t="s">
        <v>34</v>
      </c>
    </row>
    <row r="19" spans="1:2" x14ac:dyDescent="0.25">
      <c r="A19" t="s">
        <v>38</v>
      </c>
      <c r="B19" t="s">
        <v>39</v>
      </c>
    </row>
    <row r="20" spans="1:2" x14ac:dyDescent="0.25">
      <c r="A20" s="8">
        <v>4130</v>
      </c>
      <c r="B20" t="s">
        <v>40</v>
      </c>
    </row>
    <row r="21" spans="1:2" x14ac:dyDescent="0.25">
      <c r="A21" t="s">
        <v>41</v>
      </c>
      <c r="B21" t="s">
        <v>40</v>
      </c>
    </row>
    <row r="22" spans="1:2" x14ac:dyDescent="0.25">
      <c r="A22" t="s">
        <v>42</v>
      </c>
      <c r="B22" t="s">
        <v>17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45</v>
      </c>
    </row>
    <row r="25" spans="1:2" x14ac:dyDescent="0.25">
      <c r="A25" s="8">
        <v>316</v>
      </c>
      <c r="B25" t="s">
        <v>45</v>
      </c>
    </row>
    <row r="26" spans="1:2" x14ac:dyDescent="0.25">
      <c r="A26" t="s">
        <v>47</v>
      </c>
      <c r="B26" t="s">
        <v>45</v>
      </c>
    </row>
    <row r="27" spans="1:2" x14ac:dyDescent="0.25">
      <c r="A27" t="s">
        <v>48</v>
      </c>
      <c r="B27" t="s">
        <v>21</v>
      </c>
    </row>
    <row r="28" spans="1:2" x14ac:dyDescent="0.25">
      <c r="A28" t="s">
        <v>49</v>
      </c>
      <c r="B28" t="s">
        <v>45</v>
      </c>
    </row>
    <row r="29" spans="1:2" x14ac:dyDescent="0.25">
      <c r="A29" t="s">
        <v>50</v>
      </c>
      <c r="B29" t="s">
        <v>45</v>
      </c>
    </row>
    <row r="30" spans="1:2" x14ac:dyDescent="0.25">
      <c r="A30" t="s">
        <v>51</v>
      </c>
      <c r="B30" t="s">
        <v>45</v>
      </c>
    </row>
    <row r="31" spans="1:2" x14ac:dyDescent="0.25">
      <c r="A31" s="8">
        <v>1018</v>
      </c>
      <c r="B31" t="s">
        <v>30</v>
      </c>
    </row>
    <row r="32" spans="1:2" x14ac:dyDescent="0.25">
      <c r="A32" t="s">
        <v>52</v>
      </c>
      <c r="B32" t="s">
        <v>45</v>
      </c>
    </row>
    <row r="33" spans="1:2" x14ac:dyDescent="0.25">
      <c r="A33" t="s">
        <v>53</v>
      </c>
      <c r="B33" t="s">
        <v>45</v>
      </c>
    </row>
    <row r="34" spans="1:2" x14ac:dyDescent="0.25">
      <c r="A34" t="s">
        <v>54</v>
      </c>
      <c r="B34" t="s">
        <v>55</v>
      </c>
    </row>
    <row r="35" spans="1:2" x14ac:dyDescent="0.25">
      <c r="A35" t="s">
        <v>60</v>
      </c>
      <c r="B35" t="s">
        <v>45</v>
      </c>
    </row>
    <row r="36" spans="1:2" x14ac:dyDescent="0.25">
      <c r="A36" t="s">
        <v>61</v>
      </c>
      <c r="B36" t="s">
        <v>45</v>
      </c>
    </row>
    <row r="37" spans="1:2" x14ac:dyDescent="0.25">
      <c r="A37" t="s">
        <v>62</v>
      </c>
      <c r="B37" t="s">
        <v>45</v>
      </c>
    </row>
    <row r="38" spans="1:2" x14ac:dyDescent="0.25">
      <c r="A38" t="s">
        <v>63</v>
      </c>
      <c r="B38" t="s">
        <v>45</v>
      </c>
    </row>
    <row r="39" spans="1:2" x14ac:dyDescent="0.25">
      <c r="A39" t="s">
        <v>64</v>
      </c>
      <c r="B39" t="s">
        <v>34</v>
      </c>
    </row>
    <row r="40" spans="1:2" x14ac:dyDescent="0.25">
      <c r="A40" t="s">
        <v>65</v>
      </c>
      <c r="B40" t="s">
        <v>30</v>
      </c>
    </row>
    <row r="41" spans="1:2" x14ac:dyDescent="0.25">
      <c r="A41" t="s">
        <v>66</v>
      </c>
      <c r="B41" t="s">
        <v>45</v>
      </c>
    </row>
    <row r="42" spans="1:2" x14ac:dyDescent="0.25">
      <c r="A42" t="s">
        <v>67</v>
      </c>
      <c r="B42" t="s">
        <v>45</v>
      </c>
    </row>
    <row r="43" spans="1:2" x14ac:dyDescent="0.25">
      <c r="A43" t="s">
        <v>68</v>
      </c>
      <c r="B4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MRR</vt:lpstr>
      <vt:lpstr>MRR 2</vt:lpstr>
      <vt:lpstr>MRR 3</vt:lpstr>
      <vt:lpstr>Data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Naomi Fernander</dc:creator>
  <cp:lastModifiedBy>Adam McAllister</cp:lastModifiedBy>
  <cp:lastPrinted>2026-01-12T18:15:17Z</cp:lastPrinted>
  <dcterms:created xsi:type="dcterms:W3CDTF">2023-07-28T14:40:17Z</dcterms:created>
  <dcterms:modified xsi:type="dcterms:W3CDTF">2026-01-23T17:41:10Z</dcterms:modified>
</cp:coreProperties>
</file>