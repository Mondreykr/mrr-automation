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defaultThemeVersion="166925"/>
  <xr:revisionPtr revIDLastSave="1" documentId="11_495648AF1F9D4DD96DC688F3356CBB8B33EA4B6B" xr6:coauthVersionLast="47" xr6:coauthVersionMax="47" xr10:uidLastSave="{43DDE35C-C859-43B2-85D7-185FDFACAF1B}"/>
  <bookViews>
    <workbookView xWindow="-19305" yWindow="0" windowWidth="19410" windowHeight="20985" xr2:uid="{00000000-000D-0000-FFFF-FFFF00000000}"/>
  </bookViews>
  <sheets>
    <sheet name="MRR" sheetId="1" r:id="rId1"/>
    <sheet name="MRR 2" sheetId="9" r:id="rId2"/>
    <sheet name="MRR 3" sheetId="10" r:id="rId3"/>
    <sheet name="MRR 4" sheetId="2" r:id="rId4"/>
    <sheet name="Data sheet" sheetId="4" r:id="rId5"/>
    <sheet name="Processed Data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<sst xmlns="http://schemas.openxmlformats.org/spreadsheetml/2006/main" count="569" uniqueCount="77">
  <si>
    <t>Material Receiving Report</t>
  </si>
  <si>
    <t>Rec'd By:</t>
  </si>
  <si>
    <t>Lucian Gear</t>
  </si>
  <si>
    <t>Rec. Date:</t>
  </si>
  <si>
    <t>Supplier:</t>
  </si>
  <si>
    <t>PO #:</t>
  </si>
  <si>
    <t xml:space="preserve">Job No. </t>
  </si>
  <si>
    <t xml:space="preserve">                   Record of Actual Code Required Markings</t>
  </si>
  <si>
    <t>Qty</t>
  </si>
  <si>
    <t>Circ.</t>
  </si>
  <si>
    <t>Diam.</t>
  </si>
  <si>
    <t>Thickness</t>
  </si>
  <si>
    <t>Heat #</t>
  </si>
  <si>
    <t>Product Description</t>
  </si>
  <si>
    <t>Material Spec.</t>
  </si>
  <si>
    <t>Part #</t>
  </si>
  <si>
    <t>Color Code</t>
  </si>
  <si>
    <t>Shell, Rolled Plate, 48" OD x 2" Thick x 120" Long, 1/8" Gap, CS/LS 25 Deg O/S Bevel No Land</t>
  </si>
  <si>
    <t>SA516-70N</t>
  </si>
  <si>
    <t>1029200</t>
  </si>
  <si>
    <t>A53 Grade B (ERW)</t>
  </si>
  <si>
    <t>RED</t>
  </si>
  <si>
    <t>A105N</t>
  </si>
  <si>
    <t>LB</t>
  </si>
  <si>
    <t>Keith Kraemer</t>
  </si>
  <si>
    <t>105N</t>
  </si>
  <si>
    <t>Llyam Stoddard</t>
  </si>
  <si>
    <t>A234 WPB</t>
  </si>
  <si>
    <t>A333 - 6</t>
  </si>
  <si>
    <t>FO</t>
  </si>
  <si>
    <t>SA350-LF2 CL.1</t>
  </si>
  <si>
    <t>A420 WPL6</t>
  </si>
  <si>
    <t>A516-70N</t>
  </si>
  <si>
    <t>A-36</t>
  </si>
  <si>
    <t>WHITE</t>
  </si>
  <si>
    <t>Flat Bar</t>
  </si>
  <si>
    <t>Round Bar</t>
  </si>
  <si>
    <t>G40.21-44W</t>
  </si>
  <si>
    <t>FG</t>
  </si>
  <si>
    <t>Angle Iron</t>
  </si>
  <si>
    <t>A1011</t>
  </si>
  <si>
    <t>G40.21-50W</t>
  </si>
  <si>
    <t>FP</t>
  </si>
  <si>
    <t>I Beam</t>
  </si>
  <si>
    <t>WF Beam</t>
  </si>
  <si>
    <t>HSS</t>
  </si>
  <si>
    <t>G40.21-50WT-CAT 4</t>
  </si>
  <si>
    <t>YELLOW</t>
  </si>
  <si>
    <t>PURPLE</t>
  </si>
  <si>
    <t>4130H</t>
  </si>
  <si>
    <t>A106-B</t>
  </si>
  <si>
    <t>LCC</t>
  </si>
  <si>
    <t>-</t>
  </si>
  <si>
    <t>316/316L</t>
  </si>
  <si>
    <t>LCC CS</t>
  </si>
  <si>
    <t>A403-WP-316</t>
  </si>
  <si>
    <t>A352LCC/A350LF2/316SS</t>
  </si>
  <si>
    <t>NACE</t>
  </si>
  <si>
    <t>A351-CF8M</t>
  </si>
  <si>
    <t>A312-316L</t>
  </si>
  <si>
    <t>G40.21 50WT-4</t>
  </si>
  <si>
    <t>Y</t>
  </si>
  <si>
    <t>SA/A194-2HM</t>
  </si>
  <si>
    <t>SA/A194-7</t>
  </si>
  <si>
    <t>SA/A193-B7M</t>
  </si>
  <si>
    <t>SA/A320-L43</t>
  </si>
  <si>
    <t>CSA G40.21 50W</t>
  </si>
  <si>
    <t>CSA G40.21 44W</t>
  </si>
  <si>
    <t>A216-WCB</t>
  </si>
  <si>
    <t>F436-1</t>
  </si>
  <si>
    <t>A563-DH</t>
  </si>
  <si>
    <t>Head, 2:1 Semi Elliptical, Formed Plate, 48" OD x 2" Thick (1.9375" Min), 2" SF, 25 Deg O/S Bevel No Land</t>
  </si>
  <si>
    <t>1029201</t>
  </si>
  <si>
    <t>Excluded</t>
  </si>
  <si>
    <t>Split Group</t>
  </si>
  <si>
    <t>No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</si>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</sst>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#,##0.000?#&quot;''&quot;"/>
    <numFmt numFmtId="166" formatCode="##,#?#&quot;''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sz val="9"/>
      <color theme="1"/>
      <name val="Tahoma"/>
      <family val="2"/>
    </font>
    <font>
      <b/>
      <sz val="8"/>
      <color theme="1"/>
      <name val="Tahoma"/>
      <family val="2"/>
    </font>
    <font>
      <sz val="11"/>
      <color theme="1"/>
      <name val="Tahoma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4" fillId="0" borderId="7" xfId="0" applyFont="1" applyBorder="1" applyAlignment="1">
      <alignment horizontal="right" vertical="center"/>
    </xf>
    <xf numFmtId="0" fontId="1" fillId="0" borderId="7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/>
    </xf>
    <xf numFmtId="0" fontId="1" fillId="0" borderId="11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>
      <alignment horizontal="right" vertical="center" wrapText="1"/>
    </xf>
    <xf numFmtId="0" fontId="3" fillId="0" borderId="13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 applyProtection="1">
      <alignment horizontal="center" vertical="center"/>
      <protection locked="0"/>
    </xf>
    <xf numFmtId="165" fontId="6" fillId="0" borderId="19" xfId="0" applyNumberFormat="1" applyFont="1" applyBorder="1" applyAlignment="1" applyProtection="1">
      <alignment horizontal="center" vertical="center"/>
      <protection locked="0"/>
    </xf>
    <xf numFmtId="166" fontId="6" fillId="0" borderId="19" xfId="0" applyNumberFormat="1" applyFont="1" applyBorder="1" applyAlignment="1" applyProtection="1">
      <alignment horizontal="center" vertical="center"/>
      <protection locked="0"/>
    </xf>
    <xf numFmtId="165" fontId="6" fillId="0" borderId="19" xfId="0" applyNumberFormat="1" applyFont="1" applyBorder="1" applyAlignment="1" applyProtection="1">
      <alignment horizontal="center" vertical="center" wrapText="1"/>
      <protection locked="0"/>
    </xf>
    <xf numFmtId="49" fontId="6" fillId="0" borderId="19" xfId="0" applyNumberFormat="1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left"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 applyProtection="1">
      <alignment horizontal="center" vertical="center"/>
      <protection locked="0"/>
    </xf>
    <xf numFmtId="165" fontId="6" fillId="0" borderId="22" xfId="0" applyNumberFormat="1" applyFont="1" applyBorder="1" applyAlignment="1" applyProtection="1">
      <alignment horizontal="center" vertical="center"/>
      <protection locked="0"/>
    </xf>
    <xf numFmtId="166" fontId="6" fillId="0" borderId="22" xfId="0" applyNumberFormat="1" applyFont="1" applyBorder="1" applyAlignment="1" applyProtection="1">
      <alignment horizontal="center" vertical="center"/>
      <protection locked="0"/>
    </xf>
    <xf numFmtId="165" fontId="6" fillId="0" borderId="22" xfId="0" applyNumberFormat="1" applyFont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left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2" borderId="0" xfId="0" applyFont="1" applyFill="1"/>
    <xf numFmtId="0" fontId="7" fillId="2" borderId="25" xfId="0" applyFont="1" applyFill="1" applyBorder="1"/>
    <xf numFmtId="0" fontId="0" fillId="0" borderId="25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7" xfId="0" applyNumberFormat="1" applyFont="1" applyBorder="1" applyAlignment="1" applyProtection="1">
      <alignment horizontal="left" vertical="center"/>
      <protection locked="0"/>
    </xf>
    <xf numFmtId="164" fontId="1" fillId="0" borderId="8" xfId="0" applyNumberFormat="1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 applyProtection="1">
      <alignment horizontal="left"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3" fillId="0" borderId="14" xfId="0" applyFont="1" applyBorder="1" applyAlignment="1" applyProtection="1">
      <alignment vertical="center"/>
      <protection locked="0"/>
    </xf>
    <xf numFmtId="0" fontId="3" fillId="0" borderId="15" xfId="0" applyFont="1" applyBorder="1" applyAlignment="1" applyProtection="1">
      <alignment vertical="center"/>
      <protection locked="0"/>
    </xf>
    <xf numFmtId="0" fontId="3" fillId="0" borderId="16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161925</xdr:rowOff>
    </xdr:from>
    <xdr:to>
      <xdr:col>3</xdr:col>
      <xdr:colOff>85725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161925</xdr:rowOff>
    </xdr:from>
    <xdr:to>
      <xdr:col>3</xdr:col>
      <xdr:colOff>85725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161925</xdr:rowOff>
    </xdr:from>
    <xdr:to>
      <xdr:col>3</xdr:col>
      <xdr:colOff>85725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activeCell="D35" sqref="D35"/>
    </sheetView>
  </sheetViews>
  <sheetFormatPr defaultColWidth="8.7109375" defaultRowHeight="12.75" customHeight="1" x14ac:dyDescent="0.2"/>
  <cols>
    <col min="1" max="1" width="11.42578125" style="1" customWidth="1"/>
    <col min="2" max="2" width="8.7109375" style="1" customWidth="1"/>
    <col min="3" max="3" width="11.42578125" style="1" customWidth="1"/>
    <col min="4" max="4" width="9.5703125" style="1" customWidth="1"/>
    <col min="5" max="5" width="15.5703125" style="1" customWidth="1"/>
    <col min="6" max="6" width="45.140625" style="1" customWidth="1"/>
    <col min="7" max="7" width="13.140625" style="2" customWidth="1"/>
    <col min="8" max="8" width="9.42578125" style="1" customWidth="1"/>
    <col min="9" max="9" width="8.7109375" style="1" customWidth="1"/>
    <col min="10" max="16384" width="8.7109375" style="1"/>
  </cols>
  <sheetData>
    <row r="1" spans="1:15" ht="17.45" customHeight="1" x14ac:dyDescent="0.2">
      <c r="A1" s="35"/>
      <c r="B1" s="36"/>
      <c r="C1" s="36"/>
      <c r="D1" s="36"/>
      <c r="E1" s="41" t="s">
        <v>0</v>
      </c>
      <c r="F1" s="42"/>
      <c r="G1" s="42"/>
      <c r="H1" s="42"/>
      <c r="I1" s="43"/>
      <c r="J1" s="3"/>
      <c r="K1" s="3"/>
      <c r="L1" s="3"/>
      <c r="M1" s="3"/>
      <c r="N1" s="3"/>
      <c r="O1" s="3"/>
    </row>
    <row r="2" spans="1:15" ht="17.100000000000001" customHeight="1" x14ac:dyDescent="0.2">
      <c r="A2" s="37"/>
      <c r="B2" s="38"/>
      <c r="C2" s="38"/>
      <c r="D2" s="38"/>
      <c r="E2" s="4" t="s">
        <v>1</v>
      </c>
      <c r="F2" s="5" t="s">
        <v>2</v>
      </c>
      <c r="G2" s="6" t="s">
        <v>3</v>
      </c>
      <c r="H2" s="44"/>
      <c r="I2" s="45"/>
    </row>
    <row r="3" spans="1:15" ht="17.100000000000001" customHeight="1" x14ac:dyDescent="0.2">
      <c r="A3" s="39"/>
      <c r="B3" s="40"/>
      <c r="C3" s="40"/>
      <c r="D3" s="40"/>
      <c r="E3" s="7" t="s">
        <v>4</v>
      </c>
      <c r="F3" s="8"/>
      <c r="G3" s="9" t="s">
        <v>5</v>
      </c>
      <c r="H3" s="46"/>
      <c r="I3" s="47"/>
    </row>
    <row r="4" spans="1:15" ht="16.5" customHeight="1" x14ac:dyDescent="0.2">
      <c r="A4" s="10" t="s">
        <v>6</v>
      </c>
      <c r="B4" s="48"/>
      <c r="C4" s="48"/>
      <c r="D4" s="49"/>
      <c r="E4" s="50" t="s">
        <v>7</v>
      </c>
      <c r="F4" s="51"/>
      <c r="G4" s="51"/>
      <c r="H4" s="51"/>
      <c r="I4" s="52"/>
    </row>
    <row r="5" spans="1:15" ht="21.75" customHeight="1" x14ac:dyDescent="0.2">
      <c r="A5" s="11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2" t="s">
        <v>14</v>
      </c>
      <c r="H5" s="11" t="s">
        <v>15</v>
      </c>
      <c r="I5" s="12" t="s">
        <v>16</v>
      </c>
    </row>
    <row r="6" spans="1:15" ht="27" customHeight="1" x14ac:dyDescent="0.2">
      <c r="A6" s="13">
        <v>2</v>
      </c>
      <c r="B6" s="14"/>
      <c r="C6" s="15"/>
      <c r="D6" s="16"/>
      <c r="E6" s="17"/>
      <c r="F6" s="18" t="s">
        <v>17</v>
      </c>
      <c r="G6" s="19" t="s">
        <v>18</v>
      </c>
      <c r="H6" s="20" t="s">
        <v>19</v>
      </c>
      <c r="I6" s="21" t="str">
        <f>IF(ISNA(VLOOKUP(G6,'Data sheet'!A1:B174,2,FALSE)),"",(VLOOKUP(G6,'Data sheet'!A1:B165,2,FALSE)))</f>
        <v>FO</v>
      </c>
    </row>
    <row r="7" spans="1:15" ht="27" customHeight="1" x14ac:dyDescent="0.2">
      <c r="A7" s="13">
        <v>2</v>
      </c>
      <c r="B7" s="14"/>
      <c r="C7" s="15"/>
      <c r="D7" s="16"/>
      <c r="E7" s="17"/>
      <c r="F7" s="18" t="s">
        <v>17</v>
      </c>
      <c r="G7" s="19" t="s">
        <v>18</v>
      </c>
      <c r="H7" s="20" t="s">
        <v>19</v>
      </c>
      <c r="I7" s="21" t="str">
        <f>IF(ISNA(VLOOKUP(G7,'Data sheet'!A1:B174,2,FALSE)),"",(VLOOKUP(G7,'Data sheet'!A1:B165,2,FALSE)))</f>
        <v>FO</v>
      </c>
    </row>
    <row r="8" spans="1:15" ht="27" customHeight="1" x14ac:dyDescent="0.2">
      <c r="A8" s="13">
        <v>2</v>
      </c>
      <c r="B8" s="14"/>
      <c r="C8" s="15"/>
      <c r="D8" s="16"/>
      <c r="E8" s="17"/>
      <c r="F8" s="18" t="s">
        <v>17</v>
      </c>
      <c r="G8" s="19" t="s">
        <v>18</v>
      </c>
      <c r="H8" s="20" t="s">
        <v>19</v>
      </c>
      <c r="I8" s="21" t="str">
        <f>IF(ISNA(VLOOKUP(G8,'Data sheet'!A1:B174,2,FALSE)),"",(VLOOKUP(G8,'Data sheet'!A1:B165,2,FALSE)))</f>
        <v>FO</v>
      </c>
    </row>
    <row r="9" spans="1:15" ht="27" customHeight="1" x14ac:dyDescent="0.2">
      <c r="A9" s="13">
        <v>2</v>
      </c>
      <c r="B9" s="14"/>
      <c r="C9" s="15"/>
      <c r="D9" s="16"/>
      <c r="E9" s="17"/>
      <c r="F9" s="18" t="s">
        <v>17</v>
      </c>
      <c r="G9" s="19" t="s">
        <v>18</v>
      </c>
      <c r="H9" s="20" t="s">
        <v>19</v>
      </c>
      <c r="I9" s="21" t="str">
        <f>IF(ISNA(VLOOKUP(G9,'Data sheet'!A1:B174,2,FALSE)),"",(VLOOKUP(G9,'Data sheet'!A1:B165,2,FALSE)))</f>
        <v>FO</v>
      </c>
    </row>
    <row r="10" spans="1:15" ht="27" customHeight="1" x14ac:dyDescent="0.2">
      <c r="A10" s="13">
        <v>2</v>
      </c>
      <c r="B10" s="14"/>
      <c r="C10" s="15"/>
      <c r="D10" s="16"/>
      <c r="E10" s="17"/>
      <c r="F10" s="18" t="s">
        <v>17</v>
      </c>
      <c r="G10" s="19" t="s">
        <v>18</v>
      </c>
      <c r="H10" s="20" t="s">
        <v>19</v>
      </c>
      <c r="I10" s="21" t="str">
        <f>IF(ISNA(VLOOKUP(G10,'Data sheet'!A1:B174,2,FALSE)),"",(VLOOKUP(G10,'Data sheet'!A1:B165,2,FALSE)))</f>
        <v>FO</v>
      </c>
    </row>
    <row r="11" spans="1:15" ht="27" customHeight="1" x14ac:dyDescent="0.2">
      <c r="A11" s="13">
        <v>2</v>
      </c>
      <c r="B11" s="14"/>
      <c r="C11" s="15"/>
      <c r="D11" s="16"/>
      <c r="E11" s="17"/>
      <c r="F11" s="18" t="s">
        <v>17</v>
      </c>
      <c r="G11" s="19" t="s">
        <v>18</v>
      </c>
      <c r="H11" s="20" t="s">
        <v>19</v>
      </c>
      <c r="I11" s="21" t="str">
        <f>IF(ISNA(VLOOKUP(G11,'Data sheet'!A1:B174,2,FALSE)),"",(VLOOKUP(G11,'Data sheet'!A1:B165,2,FALSE)))</f>
        <v>FO</v>
      </c>
    </row>
    <row r="12" spans="1:15" ht="27" customHeight="1" x14ac:dyDescent="0.2">
      <c r="A12" s="13">
        <v>2</v>
      </c>
      <c r="B12" s="14"/>
      <c r="C12" s="15"/>
      <c r="D12" s="16"/>
      <c r="E12" s="17"/>
      <c r="F12" s="18" t="s">
        <v>17</v>
      </c>
      <c r="G12" s="19" t="s">
        <v>18</v>
      </c>
      <c r="H12" s="20" t="s">
        <v>19</v>
      </c>
      <c r="I12" s="21" t="str">
        <f>IF(ISNA(VLOOKUP(G12,'Data sheet'!A1:B174,2,FALSE)),"",(VLOOKUP(G12,'Data sheet'!A1:B165,2,FALSE)))</f>
        <v>FO</v>
      </c>
    </row>
    <row r="13" spans="1:15" ht="27" customHeight="1" x14ac:dyDescent="0.2">
      <c r="A13" s="13">
        <v>2</v>
      </c>
      <c r="B13" s="14"/>
      <c r="C13" s="15"/>
      <c r="D13" s="16"/>
      <c r="E13" s="17"/>
      <c r="F13" s="18" t="s">
        <v>17</v>
      </c>
      <c r="G13" s="19" t="s">
        <v>18</v>
      </c>
      <c r="H13" s="20" t="s">
        <v>19</v>
      </c>
      <c r="I13" s="21" t="str">
        <f>IF(ISNA(VLOOKUP(G13,'Data sheet'!A1:B174,2,FALSE)),"",(VLOOKUP(G13,'Data sheet'!A1:B165,2,FALSE)))</f>
        <v>FO</v>
      </c>
    </row>
    <row r="14" spans="1:15" ht="27" customHeight="1" x14ac:dyDescent="0.2">
      <c r="A14" s="13">
        <v>2</v>
      </c>
      <c r="B14" s="14"/>
      <c r="C14" s="15"/>
      <c r="D14" s="16"/>
      <c r="E14" s="17"/>
      <c r="F14" s="18" t="s">
        <v>17</v>
      </c>
      <c r="G14" s="19" t="s">
        <v>18</v>
      </c>
      <c r="H14" s="20" t="s">
        <v>19</v>
      </c>
      <c r="I14" s="21" t="str">
        <f>IF(ISNA(VLOOKUP(G14,'Data sheet'!A1:B180,2,FALSE)),"",(VLOOKUP(G14,'Data sheet'!A1:B171,2,FALSE)))</f>
        <v>FO</v>
      </c>
    </row>
    <row r="15" spans="1:15" ht="27" customHeight="1" x14ac:dyDescent="0.2">
      <c r="A15" s="13">
        <v>2</v>
      </c>
      <c r="B15" s="14"/>
      <c r="C15" s="15"/>
      <c r="D15" s="16"/>
      <c r="E15" s="17"/>
      <c r="F15" s="18" t="s">
        <v>17</v>
      </c>
      <c r="G15" s="19" t="s">
        <v>18</v>
      </c>
      <c r="H15" s="20" t="s">
        <v>19</v>
      </c>
      <c r="I15" s="21" t="str">
        <f>IF(ISNA(VLOOKUP(G15,'Data sheet'!A1:B181,2,FALSE)),"",(VLOOKUP(G15,'Data sheet'!A1:B172,2,FALSE)))</f>
        <v>FO</v>
      </c>
    </row>
    <row r="16" spans="1:15" ht="27" customHeight="1" x14ac:dyDescent="0.2">
      <c r="A16" s="13">
        <v>2</v>
      </c>
      <c r="B16" s="14"/>
      <c r="C16" s="15"/>
      <c r="D16" s="16"/>
      <c r="E16" s="17"/>
      <c r="F16" s="18" t="s">
        <v>17</v>
      </c>
      <c r="G16" s="19" t="s">
        <v>18</v>
      </c>
      <c r="H16" s="20" t="s">
        <v>19</v>
      </c>
      <c r="I16" s="21" t="str">
        <f>IF(ISNA(VLOOKUP(G16,'Data sheet'!A1:B182,2,FALSE)),"",(VLOOKUP(G16,'Data sheet'!A1:B173,2,FALSE)))</f>
        <v>FO</v>
      </c>
    </row>
    <row r="17" spans="1:9" ht="27" customHeight="1" x14ac:dyDescent="0.2">
      <c r="A17" s="13">
        <v>2</v>
      </c>
      <c r="B17" s="14"/>
      <c r="C17" s="15"/>
      <c r="D17" s="16"/>
      <c r="E17" s="17"/>
      <c r="F17" s="18" t="s">
        <v>17</v>
      </c>
      <c r="G17" s="19" t="s">
        <v>18</v>
      </c>
      <c r="H17" s="20" t="s">
        <v>19</v>
      </c>
      <c r="I17" s="21" t="str">
        <f>IF(ISNA(VLOOKUP(G17,'Data sheet'!A1:B183,2,FALSE)),"",(VLOOKUP(G17,'Data sheet'!A1:B174,2,FALSE)))</f>
        <v>FO</v>
      </c>
    </row>
    <row r="18" spans="1:9" ht="27" customHeight="1" x14ac:dyDescent="0.2">
      <c r="A18" s="13">
        <v>2</v>
      </c>
      <c r="B18" s="14"/>
      <c r="C18" s="15"/>
      <c r="D18" s="16"/>
      <c r="E18" s="17"/>
      <c r="F18" s="18" t="s">
        <v>17</v>
      </c>
      <c r="G18" s="19" t="s">
        <v>18</v>
      </c>
      <c r="H18" s="20" t="s">
        <v>19</v>
      </c>
      <c r="I18" s="21" t="str">
        <f>IF(ISNA(VLOOKUP(G18,'Data sheet'!A1:B184,2,FALSE)),"",(VLOOKUP(G18,'Data sheet'!A1:B175,2,FALSE)))</f>
        <v>FO</v>
      </c>
    </row>
    <row r="19" spans="1:9" ht="27" customHeight="1" x14ac:dyDescent="0.2">
      <c r="A19" s="13">
        <v>2</v>
      </c>
      <c r="B19" s="14"/>
      <c r="C19" s="15"/>
      <c r="D19" s="16"/>
      <c r="E19" s="17"/>
      <c r="F19" s="18" t="s">
        <v>17</v>
      </c>
      <c r="G19" s="19" t="s">
        <v>18</v>
      </c>
      <c r="H19" s="20" t="s">
        <v>19</v>
      </c>
      <c r="I19" s="21" t="str">
        <f>IF(ISNA(VLOOKUP(G19,'Data sheet'!A1:B185,2,FALSE)),"",(VLOOKUP(G19,'Data sheet'!A1:B176,2,FALSE)))</f>
        <v>FO</v>
      </c>
    </row>
    <row r="20" spans="1:9" ht="27" customHeight="1" x14ac:dyDescent="0.2">
      <c r="A20" s="13">
        <v>2</v>
      </c>
      <c r="B20" s="14"/>
      <c r="C20" s="15"/>
      <c r="D20" s="16"/>
      <c r="E20" s="17"/>
      <c r="F20" s="18" t="s">
        <v>17</v>
      </c>
      <c r="G20" s="19" t="s">
        <v>18</v>
      </c>
      <c r="H20" s="20" t="s">
        <v>19</v>
      </c>
      <c r="I20" s="21" t="str">
        <f>IF(ISNA(VLOOKUP(G20,'Data sheet'!A1:B186,2,FALSE)),"",(VLOOKUP(G20,'Data sheet'!A1:B177,2,FALSE)))</f>
        <v>FO</v>
      </c>
    </row>
    <row r="21" spans="1:9" ht="27" customHeight="1" x14ac:dyDescent="0.2">
      <c r="A21" s="22">
        <v>2</v>
      </c>
      <c r="B21" s="23"/>
      <c r="C21" s="24"/>
      <c r="D21" s="25"/>
      <c r="E21" s="26"/>
      <c r="F21" s="27" t="s">
        <v>17</v>
      </c>
      <c r="G21" s="28" t="s">
        <v>18</v>
      </c>
      <c r="H21" s="29" t="s">
        <v>19</v>
      </c>
      <c r="I21" s="30" t="str">
        <f>IF(ISNA(VLOOKUP(G21,'Data sheet'!A1:B187,2,FALSE)),"",(VLOOKUP(G21,'Data sheet'!A1:B178,2,FALSE)))</f>
        <v>FO</v>
      </c>
    </row>
  </sheetData>
  <sheetProtection formatCells="0"/>
  <mergeCells count="6">
    <mergeCell ref="A1:D3"/>
    <mergeCell ref="E1:I1"/>
    <mergeCell ref="H2:I2"/>
    <mergeCell ref="H3:I3"/>
    <mergeCell ref="B4:D4"/>
    <mergeCell ref="E4:I4"/>
  </mergeCells>
  <conditionalFormatting sqref="B4:D4">
    <cfRule type="containsBlanks" dxfId="5" priority="2">
      <formula>LEN(TRIM(B4))=0</formula>
    </cfRule>
  </conditionalFormatting>
  <conditionalFormatting sqref="E6:E21">
    <cfRule type="expression" dxfId="4" priority="1">
      <formula>A6:E21&lt;&gt;""</formula>
    </cfRule>
  </conditionalFormatting>
  <conditionalFormatting sqref="F3">
    <cfRule type="containsBlanks" dxfId="3" priority="3">
      <formula>LEN(TRIM(F3))=0</formula>
    </cfRule>
  </conditionalFormatting>
  <conditionalFormatting sqref="H2:I3">
    <cfRule type="containsBlanks" dxfId="2" priority="4">
      <formula>LEN(TRIM(H2))=0</formula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orientation="landscape" useFirstPageNumber="1" horizontalDpi="4294967295" verticalDpi="429496729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Invalid Name" error="Please select a name from the list." xr:uid="{00000000-0002-0000-0000-000000000000}">
          <x14:formula1>
            <xm:f>'Data sheet'!$D$1:$D$100</xm:f>
          </x14:formula1>
          <xm:sqref>F2</xm:sqref>
        </x14:dataValidation>
        <x14:dataValidation type="list" errorStyle="warning" allowBlank="1" showErrorMessage="1" errorTitle="Invalid Material" error="Please select a material from the list or enter a valid material code." xr:uid="{00000000-0002-0000-0000-000001000000}">
          <x14:formula1>
            <xm:f>'Data sheet'!$A$1:$A$200</xm:f>
          </x14:formula1>
          <xm:sqref>G6:G21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zoomScaleNormal="100" workbookViewId="0">
      <selection activeCell="F7" sqref="F7"/>
    </sheetView>
  </sheetViews>
  <sheetFormatPr defaultColWidth="8.7109375" defaultRowHeight="12.75" customHeight="1" x14ac:dyDescent="0.2"/>
  <cols>
    <col min="1" max="1" width="11.42578125" style="1" customWidth="1"/>
    <col min="2" max="2" width="8.7109375" style="1" customWidth="1"/>
    <col min="3" max="3" width="11.42578125" style="1" customWidth="1"/>
    <col min="4" max="4" width="9.5703125" style="1" customWidth="1"/>
    <col min="5" max="5" width="15.5703125" style="1" customWidth="1"/>
    <col min="6" max="6" width="46.7109375" style="1" customWidth="1"/>
    <col min="7" max="7" width="13.5703125" style="2" customWidth="1"/>
    <col min="8" max="8" width="9.42578125" style="1" customWidth="1"/>
    <col min="9" max="9" width="7.140625" style="1" customWidth="1"/>
    <col min="10" max="10" width="8.7109375" style="1" customWidth="1"/>
    <col min="11" max="16384" width="8.7109375" style="1"/>
  </cols>
  <sheetData>
    <row r="1" spans="1:15" ht="17.45" customHeight="1" x14ac:dyDescent="0.2">
      <c r="A1" s="35"/>
      <c r="B1" s="36"/>
      <c r="C1" s="36"/>
      <c r="D1" s="36"/>
      <c r="E1" s="41" t="s">
        <v>0</v>
      </c>
      <c r="F1" s="42"/>
      <c r="G1" s="42"/>
      <c r="H1" s="42"/>
      <c r="I1" s="43"/>
      <c r="J1" s="3"/>
      <c r="K1" s="3"/>
      <c r="L1" s="3"/>
      <c r="M1" s="3"/>
      <c r="N1" s="3"/>
      <c r="O1" s="3"/>
    </row>
    <row r="2" spans="1:15" ht="17.100000000000001" customHeight="1" x14ac:dyDescent="0.2">
      <c r="A2" s="37"/>
      <c r="B2" s="38"/>
      <c r="C2" s="38"/>
      <c r="D2" s="38"/>
      <c r="E2" s="4" t="s">
        <v>1</v>
      </c>
      <c r="F2" s="5" t="s">
        <v>2</v>
      </c>
      <c r="G2" s="6" t="s">
        <v>3</v>
      </c>
      <c r="H2" s="44"/>
      <c r="I2" s="45"/>
    </row>
    <row r="3" spans="1:15" ht="17.100000000000001" customHeight="1" x14ac:dyDescent="0.2">
      <c r="A3" s="39"/>
      <c r="B3" s="40"/>
      <c r="C3" s="40"/>
      <c r="D3" s="40"/>
      <c r="E3" s="7" t="s">
        <v>4</v>
      </c>
      <c r="F3" s="8"/>
      <c r="G3" s="9" t="s">
        <v>5</v>
      </c>
      <c r="H3" s="46"/>
      <c r="I3" s="47"/>
    </row>
    <row r="4" spans="1:15" ht="16.5" customHeight="1" x14ac:dyDescent="0.2">
      <c r="A4" s="10" t="s">
        <v>6</v>
      </c>
      <c r="B4" s="48"/>
      <c r="C4" s="48"/>
      <c r="D4" s="49"/>
      <c r="E4" s="50" t="s">
        <v>7</v>
      </c>
      <c r="F4" s="51"/>
      <c r="G4" s="51"/>
      <c r="H4" s="51"/>
      <c r="I4" s="52"/>
    </row>
    <row r="5" spans="1:15" ht="21.75" customHeight="1" x14ac:dyDescent="0.2">
      <c r="A5" s="11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2" t="s">
        <v>14</v>
      </c>
      <c r="H5" s="11" t="s">
        <v>15</v>
      </c>
      <c r="I5" s="12" t="s">
        <v>16</v>
      </c>
    </row>
    <row r="6" spans="1:15" ht="27" customHeight="1" x14ac:dyDescent="0.2">
      <c r="A6" s="13">
        <v>2</v>
      </c>
      <c r="B6" s="14"/>
      <c r="C6" s="15"/>
      <c r="D6" s="16"/>
      <c r="E6" s="17"/>
      <c r="F6" s="18" t="s">
        <v>17</v>
      </c>
      <c r="G6" s="19" t="s">
        <v>18</v>
      </c>
      <c r="H6" s="20" t="s">
        <v>19</v>
      </c>
      <c r="I6" s="21" t="str">
        <f>IF(ISNA(VLOOKUP(G6,'Data sheet'!A1:B174,2,FALSE)),"",(VLOOKUP(G6,'Data sheet'!A1:B165,2,FALSE)))</f>
        <v>FO</v>
      </c>
    </row>
    <row r="7" spans="1:15" ht="27" customHeight="1" x14ac:dyDescent="0.2">
      <c r="A7" s="13">
        <v>2</v>
      </c>
      <c r="B7" s="14"/>
      <c r="C7" s="15"/>
      <c r="D7" s="16"/>
      <c r="E7" s="17"/>
      <c r="F7" s="18" t="s">
        <v>17</v>
      </c>
      <c r="G7" s="19" t="s">
        <v>18</v>
      </c>
      <c r="H7" s="20" t="s">
        <v>19</v>
      </c>
      <c r="I7" s="21" t="str">
        <f>IF(ISNA(VLOOKUP(G7,'Data sheet'!A1:B174,2,FALSE)),"",(VLOOKUP(G7,'Data sheet'!A1:B165,2,FALSE)))</f>
        <v>FO</v>
      </c>
    </row>
    <row r="8" spans="1:15" ht="27" customHeight="1" x14ac:dyDescent="0.2">
      <c r="A8" s="13">
        <v>2</v>
      </c>
      <c r="B8" s="14"/>
      <c r="C8" s="15"/>
      <c r="D8" s="16"/>
      <c r="E8" s="17"/>
      <c r="F8" s="18" t="s">
        <v>17</v>
      </c>
      <c r="G8" s="19" t="s">
        <v>18</v>
      </c>
      <c r="H8" s="20" t="s">
        <v>19</v>
      </c>
      <c r="I8" s="21" t="str">
        <f>IF(ISNA(VLOOKUP(G8,'Data sheet'!A1:B174,2,FALSE)),"",(VLOOKUP(G8,'Data sheet'!A1:B165,2,FALSE)))</f>
        <v>FO</v>
      </c>
    </row>
    <row r="9" spans="1:15" ht="27" customHeight="1" x14ac:dyDescent="0.2">
      <c r="A9" s="13">
        <v>2</v>
      </c>
      <c r="B9" s="14"/>
      <c r="C9" s="15"/>
      <c r="D9" s="16"/>
      <c r="E9" s="17"/>
      <c r="F9" s="18" t="s">
        <v>17</v>
      </c>
      <c r="G9" s="19" t="s">
        <v>18</v>
      </c>
      <c r="H9" s="20" t="s">
        <v>19</v>
      </c>
      <c r="I9" s="21" t="str">
        <f>IF(ISNA(VLOOKUP(G9,'Data sheet'!A1:B174,2,FALSE)),"",(VLOOKUP(G9,'Data sheet'!A1:B165,2,FALSE)))</f>
        <v>FO</v>
      </c>
    </row>
    <row r="10" spans="1:15" ht="27" customHeight="1" x14ac:dyDescent="0.2">
      <c r="A10" s="13">
        <v>2</v>
      </c>
      <c r="B10" s="14"/>
      <c r="C10" s="15"/>
      <c r="D10" s="16"/>
      <c r="E10" s="17"/>
      <c r="F10" s="18" t="s">
        <v>17</v>
      </c>
      <c r="G10" s="19" t="s">
        <v>18</v>
      </c>
      <c r="H10" s="20" t="s">
        <v>19</v>
      </c>
      <c r="I10" s="21" t="str">
        <f>IF(ISNA(VLOOKUP(G10,'Data sheet'!A1:B174,2,FALSE)),"",(VLOOKUP(G10,'Data sheet'!A1:B165,2,FALSE)))</f>
        <v>FO</v>
      </c>
    </row>
    <row r="11" spans="1:15" ht="27" customHeight="1" x14ac:dyDescent="0.2">
      <c r="A11" s="13">
        <v>2</v>
      </c>
      <c r="B11" s="14"/>
      <c r="C11" s="15"/>
      <c r="D11" s="16"/>
      <c r="E11" s="17"/>
      <c r="F11" s="18" t="s">
        <v>17</v>
      </c>
      <c r="G11" s="19" t="s">
        <v>18</v>
      </c>
      <c r="H11" s="20" t="s">
        <v>19</v>
      </c>
      <c r="I11" s="21" t="str">
        <f>IF(ISNA(VLOOKUP(G11,'Data sheet'!A1:B174,2,FALSE)),"",(VLOOKUP(G11,'Data sheet'!A1:B165,2,FALSE)))</f>
        <v>FO</v>
      </c>
    </row>
    <row r="12" spans="1:15" ht="27" customHeight="1" x14ac:dyDescent="0.2">
      <c r="A12" s="13">
        <v>2</v>
      </c>
      <c r="B12" s="14"/>
      <c r="C12" s="15"/>
      <c r="D12" s="16"/>
      <c r="E12" s="17"/>
      <c r="F12" s="18" t="s">
        <v>17</v>
      </c>
      <c r="G12" s="19" t="s">
        <v>18</v>
      </c>
      <c r="H12" s="20" t="s">
        <v>19</v>
      </c>
      <c r="I12" s="21" t="str">
        <f>IF(ISNA(VLOOKUP(G12,'Data sheet'!A1:B174,2,FALSE)),"",(VLOOKUP(G12,'Data sheet'!A1:B165,2,FALSE)))</f>
        <v>FO</v>
      </c>
    </row>
    <row r="13" spans="1:15" ht="27" customHeight="1" x14ac:dyDescent="0.2">
      <c r="A13" s="13">
        <v>2</v>
      </c>
      <c r="B13" s="14"/>
      <c r="C13" s="15"/>
      <c r="D13" s="16"/>
      <c r="E13" s="17"/>
      <c r="F13" s="18" t="s">
        <v>17</v>
      </c>
      <c r="G13" s="19" t="s">
        <v>18</v>
      </c>
      <c r="H13" s="20" t="s">
        <v>19</v>
      </c>
      <c r="I13" s="21" t="str">
        <f>IF(ISNA(VLOOKUP(G13,'Data sheet'!A1:B174,2,FALSE)),"",(VLOOKUP(G13,'Data sheet'!A1:B165,2,FALSE)))</f>
        <v>FO</v>
      </c>
    </row>
    <row r="14" spans="1:15" ht="27" customHeight="1" x14ac:dyDescent="0.2">
      <c r="A14" s="13">
        <v>2</v>
      </c>
      <c r="B14" s="14"/>
      <c r="C14" s="15"/>
      <c r="D14" s="16"/>
      <c r="E14" s="17"/>
      <c r="F14" s="18" t="s">
        <v>17</v>
      </c>
      <c r="G14" s="19" t="s">
        <v>18</v>
      </c>
      <c r="H14" s="20" t="s">
        <v>19</v>
      </c>
      <c r="I14" s="21" t="str">
        <f>IF(ISNA(VLOOKUP(G14,'Data sheet'!A1:B180,2,FALSE)),"",(VLOOKUP(G14,'Data sheet'!A1:B171,2,FALSE)))</f>
        <v>FO</v>
      </c>
    </row>
    <row r="15" spans="1:15" ht="27" customHeight="1" x14ac:dyDescent="0.2">
      <c r="A15" s="13">
        <v>2</v>
      </c>
      <c r="B15" s="14"/>
      <c r="C15" s="15"/>
      <c r="D15" s="16"/>
      <c r="E15" s="17"/>
      <c r="F15" s="18" t="s">
        <v>17</v>
      </c>
      <c r="G15" s="19" t="s">
        <v>18</v>
      </c>
      <c r="H15" s="20" t="s">
        <v>19</v>
      </c>
      <c r="I15" s="21" t="str">
        <f>IF(ISNA(VLOOKUP(G15,'Data sheet'!A1:B181,2,FALSE)),"",(VLOOKUP(G15,'Data sheet'!A1:B172,2,FALSE)))</f>
        <v>FO</v>
      </c>
    </row>
    <row r="16" spans="1:15" ht="27" customHeight="1" x14ac:dyDescent="0.2">
      <c r="A16" s="13">
        <v>2</v>
      </c>
      <c r="B16" s="14"/>
      <c r="C16" s="15"/>
      <c r="D16" s="16"/>
      <c r="E16" s="17"/>
      <c r="F16" s="18" t="s">
        <v>17</v>
      </c>
      <c r="G16" s="19" t="s">
        <v>18</v>
      </c>
      <c r="H16" s="20" t="s">
        <v>19</v>
      </c>
      <c r="I16" s="21" t="str">
        <f>IF(ISNA(VLOOKUP(G16,'Data sheet'!A1:B182,2,FALSE)),"",(VLOOKUP(G16,'Data sheet'!A1:B173,2,FALSE)))</f>
        <v>FO</v>
      </c>
    </row>
    <row r="17" spans="1:9" ht="27" customHeight="1" x14ac:dyDescent="0.2">
      <c r="A17" s="13">
        <v>2</v>
      </c>
      <c r="B17" s="14"/>
      <c r="C17" s="15"/>
      <c r="D17" s="16"/>
      <c r="E17" s="17"/>
      <c r="F17" s="18" t="s">
        <v>17</v>
      </c>
      <c r="G17" s="19" t="s">
        <v>18</v>
      </c>
      <c r="H17" s="20" t="s">
        <v>19</v>
      </c>
      <c r="I17" s="21" t="str">
        <f>IF(ISNA(VLOOKUP(G17,'Data sheet'!A1:B183,2,FALSE)),"",(VLOOKUP(G17,'Data sheet'!A1:B174,2,FALSE)))</f>
        <v>FO</v>
      </c>
    </row>
    <row r="18" spans="1:9" ht="27" customHeight="1" x14ac:dyDescent="0.2">
      <c r="A18" s="13">
        <v>2</v>
      </c>
      <c r="B18" s="14"/>
      <c r="C18" s="15"/>
      <c r="D18" s="16"/>
      <c r="E18" s="17"/>
      <c r="F18" s="18" t="s">
        <v>17</v>
      </c>
      <c r="G18" s="19" t="s">
        <v>18</v>
      </c>
      <c r="H18" s="20" t="s">
        <v>19</v>
      </c>
      <c r="I18" s="21" t="str">
        <f>IF(ISNA(VLOOKUP(G18,'Data sheet'!A1:B184,2,FALSE)),"",(VLOOKUP(G18,'Data sheet'!A1:B175,2,FALSE)))</f>
        <v>FO</v>
      </c>
    </row>
    <row r="19" spans="1:9" ht="27" customHeight="1" x14ac:dyDescent="0.2">
      <c r="A19" s="13">
        <v>2</v>
      </c>
      <c r="B19" s="14"/>
      <c r="C19" s="15"/>
      <c r="D19" s="16"/>
      <c r="E19" s="17"/>
      <c r="F19" s="18" t="s">
        <v>17</v>
      </c>
      <c r="G19" s="19" t="s">
        <v>18</v>
      </c>
      <c r="H19" s="20" t="s">
        <v>19</v>
      </c>
      <c r="I19" s="21" t="str">
        <f>IF(ISNA(VLOOKUP(G19,'Data sheet'!A1:B185,2,FALSE)),"",(VLOOKUP(G19,'Data sheet'!A1:B176,2,FALSE)))</f>
        <v>FO</v>
      </c>
    </row>
    <row r="20" spans="1:9" ht="27" customHeight="1" x14ac:dyDescent="0.2">
      <c r="A20" s="13">
        <v>2</v>
      </c>
      <c r="B20" s="14"/>
      <c r="C20" s="15"/>
      <c r="D20" s="16"/>
      <c r="E20" s="17"/>
      <c r="F20" s="18" t="s">
        <v>17</v>
      </c>
      <c r="G20" s="19" t="s">
        <v>18</v>
      </c>
      <c r="H20" s="20" t="s">
        <v>19</v>
      </c>
      <c r="I20" s="21" t="str">
        <f>IF(ISNA(VLOOKUP(G20,'Data sheet'!A1:B186,2,FALSE)),"",(VLOOKUP(G20,'Data sheet'!A1:B177,2,FALSE)))</f>
        <v>FO</v>
      </c>
    </row>
    <row r="21" spans="1:9" ht="27" customHeight="1" x14ac:dyDescent="0.2">
      <c r="A21" s="22">
        <v>2</v>
      </c>
      <c r="B21" s="23"/>
      <c r="C21" s="24"/>
      <c r="D21" s="25"/>
      <c r="E21" s="26"/>
      <c r="F21" s="27" t="s">
        <v>17</v>
      </c>
      <c r="G21" s="28" t="s">
        <v>18</v>
      </c>
      <c r="H21" s="29" t="s">
        <v>19</v>
      </c>
      <c r="I21" s="30" t="str">
        <f>IF(ISNA(VLOOKUP(G21,'Data sheet'!A1:B187,2,FALSE)),"",(VLOOKUP(G21,'Data sheet'!A1:B178,2,FALSE)))</f>
        <v>FO</v>
      </c>
    </row>
  </sheetData>
  <sheetProtection formatCells="0"/>
  <mergeCells count="6">
    <mergeCell ref="A1:D3"/>
    <mergeCell ref="E1:I1"/>
    <mergeCell ref="H2:I2"/>
    <mergeCell ref="H3:I3"/>
    <mergeCell ref="B4:D4"/>
    <mergeCell ref="E4:I4"/>
  </mergeCells>
  <conditionalFormatting sqref="E6:E21">
    <cfRule type="expression" dxfId="1" priority="1">
      <formula>A6:E21&lt;&gt;""</formula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orientation="landscape" useFirstPageNumber="1" horizontalDpi="4294967295" verticalDpi="429496729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Invalid Name" error="Please select a name from the list." xr:uid="{00000000-0002-0000-0100-000000000000}">
          <x14:formula1>
            <xm:f>'Data sheet'!$D$1:$D$100</xm:f>
          </x14:formula1>
          <xm:sqref>F2</xm:sqref>
        </x14:dataValidation>
        <x14:dataValidation type="list" errorStyle="warning" allowBlank="1" showErrorMessage="1" errorTitle="Invalid Material" error="Please select a material from the list or enter a valid material code." xr:uid="{00000000-0002-0000-0100-000001000000}">
          <x14:formula1>
            <xm:f>'Data sheet'!$A$1:$A$200</xm:f>
          </x14:formula1>
          <xm:sqref>G6:G21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zoomScaleNormal="100" workbookViewId="0">
      <selection activeCell="F9" sqref="F9"/>
    </sheetView>
  </sheetViews>
  <sheetFormatPr defaultColWidth="8.7109375" defaultRowHeight="12.75" customHeight="1" x14ac:dyDescent="0.2"/>
  <cols>
    <col min="1" max="1" width="11.42578125" style="1" customWidth="1"/>
    <col min="2" max="2" width="8.7109375" style="1" customWidth="1"/>
    <col min="3" max="3" width="11.42578125" style="1" customWidth="1"/>
    <col min="4" max="4" width="9.5703125" style="1" customWidth="1"/>
    <col min="5" max="5" width="15.5703125" style="1" customWidth="1"/>
    <col min="6" max="6" width="46.7109375" style="1" customWidth="1"/>
    <col min="7" max="7" width="13.7109375" style="2" customWidth="1"/>
    <col min="8" max="8" width="9.42578125" style="1" customWidth="1"/>
    <col min="9" max="9" width="7.42578125" style="1" customWidth="1"/>
    <col min="10" max="10" width="8.7109375" style="1" customWidth="1"/>
    <col min="11" max="16384" width="8.7109375" style="1"/>
  </cols>
  <sheetData>
    <row r="1" spans="1:15" ht="17.45" customHeight="1" x14ac:dyDescent="0.2">
      <c r="A1" s="35"/>
      <c r="B1" s="36"/>
      <c r="C1" s="36"/>
      <c r="D1" s="36"/>
      <c r="E1" s="41" t="s">
        <v>0</v>
      </c>
      <c r="F1" s="42"/>
      <c r="G1" s="42"/>
      <c r="H1" s="42"/>
      <c r="I1" s="43"/>
      <c r="J1" s="3"/>
      <c r="K1" s="3"/>
      <c r="L1" s="3"/>
      <c r="M1" s="3"/>
      <c r="N1" s="3"/>
      <c r="O1" s="3"/>
    </row>
    <row r="2" spans="1:15" ht="17.100000000000001" customHeight="1" x14ac:dyDescent="0.2">
      <c r="A2" s="37"/>
      <c r="B2" s="38"/>
      <c r="C2" s="38"/>
      <c r="D2" s="38"/>
      <c r="E2" s="4" t="s">
        <v>1</v>
      </c>
      <c r="F2" s="5"/>
      <c r="G2" s="6" t="s">
        <v>3</v>
      </c>
      <c r="H2" s="44"/>
      <c r="I2" s="45"/>
    </row>
    <row r="3" spans="1:15" ht="17.100000000000001" customHeight="1" x14ac:dyDescent="0.2">
      <c r="A3" s="39"/>
      <c r="B3" s="40"/>
      <c r="C3" s="40"/>
      <c r="D3" s="40"/>
      <c r="E3" s="7" t="s">
        <v>4</v>
      </c>
      <c r="F3" s="8"/>
      <c r="G3" s="9" t="s">
        <v>5</v>
      </c>
      <c r="H3" s="46"/>
      <c r="I3" s="47"/>
    </row>
    <row r="4" spans="1:15" ht="16.5" customHeight="1" x14ac:dyDescent="0.2">
      <c r="A4" s="10" t="s">
        <v>6</v>
      </c>
      <c r="B4" s="48"/>
      <c r="C4" s="48"/>
      <c r="D4" s="49"/>
      <c r="E4" s="50" t="s">
        <v>7</v>
      </c>
      <c r="F4" s="51"/>
      <c r="G4" s="51"/>
      <c r="H4" s="51"/>
      <c r="I4" s="52"/>
    </row>
    <row r="5" spans="1:15" ht="21.75" customHeight="1" x14ac:dyDescent="0.2">
      <c r="A5" s="11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2" t="s">
        <v>14</v>
      </c>
      <c r="H5" s="11" t="s">
        <v>15</v>
      </c>
      <c r="I5" s="12" t="s">
        <v>16</v>
      </c>
    </row>
    <row r="6" spans="1:15" ht="27" customHeight="1" x14ac:dyDescent="0.2">
      <c r="A6" s="13">
        <v>2</v>
      </c>
      <c r="B6" s="14"/>
      <c r="C6" s="15"/>
      <c r="D6" s="16"/>
      <c r="E6" s="17"/>
      <c r="F6" s="18" t="s">
        <v>17</v>
      </c>
      <c r="G6" s="19" t="s">
        <v>18</v>
      </c>
      <c r="H6" s="20" t="s">
        <v>19</v>
      </c>
      <c r="I6" s="21" t="str">
        <f>IF(ISNA(VLOOKUP(G6,'Data sheet'!A1:B174,2,FALSE)),"",(VLOOKUP(G6,'Data sheet'!A1:B165,2,FALSE)))</f>
        <v>FO</v>
      </c>
    </row>
    <row r="7" spans="1:15" ht="27" customHeight="1" x14ac:dyDescent="0.2">
      <c r="A7" s="13">
        <v>2</v>
      </c>
      <c r="B7" s="14"/>
      <c r="C7" s="15"/>
      <c r="D7" s="16"/>
      <c r="E7" s="17"/>
      <c r="F7" s="18" t="s">
        <v>17</v>
      </c>
      <c r="G7" s="19" t="s">
        <v>18</v>
      </c>
      <c r="H7" s="20" t="s">
        <v>19</v>
      </c>
      <c r="I7" s="21" t="str">
        <f>IF(ISNA(VLOOKUP(G7,'Data sheet'!A1:B174,2,FALSE)),"",(VLOOKUP(G7,'Data sheet'!A1:B165,2,FALSE)))</f>
        <v>FO</v>
      </c>
    </row>
    <row r="8" spans="1:15" ht="27" customHeight="1" x14ac:dyDescent="0.2">
      <c r="A8" s="13">
        <v>2</v>
      </c>
      <c r="B8" s="14"/>
      <c r="C8" s="15"/>
      <c r="D8" s="16"/>
      <c r="E8" s="17"/>
      <c r="F8" s="18" t="s">
        <v>17</v>
      </c>
      <c r="G8" s="19" t="s">
        <v>18</v>
      </c>
      <c r="H8" s="20" t="s">
        <v>19</v>
      </c>
      <c r="I8" s="21" t="str">
        <f>IF(ISNA(VLOOKUP(G8,'Data sheet'!A1:B174,2,FALSE)),"",(VLOOKUP(G8,'Data sheet'!A1:B165,2,FALSE)))</f>
        <v>FO</v>
      </c>
    </row>
    <row r="9" spans="1:15" ht="27" customHeight="1" x14ac:dyDescent="0.2">
      <c r="A9" s="13">
        <v>2</v>
      </c>
      <c r="B9" s="14"/>
      <c r="C9" s="15"/>
      <c r="D9" s="16"/>
      <c r="E9" s="17"/>
      <c r="F9" s="18" t="s">
        <v>17</v>
      </c>
      <c r="G9" s="19" t="s">
        <v>18</v>
      </c>
      <c r="H9" s="20" t="s">
        <v>19</v>
      </c>
      <c r="I9" s="21" t="str">
        <f>IF(ISNA(VLOOKUP(G9,'Data sheet'!A1:B174,2,FALSE)),"",(VLOOKUP(G9,'Data sheet'!A1:B165,2,FALSE)))</f>
        <v>FO</v>
      </c>
    </row>
    <row r="10" spans="1:15" ht="27" customHeight="1" x14ac:dyDescent="0.2">
      <c r="A10" s="13">
        <v>2</v>
      </c>
      <c r="B10" s="14"/>
      <c r="C10" s="15"/>
      <c r="D10" s="16"/>
      <c r="E10" s="17"/>
      <c r="F10" s="18" t="s">
        <v>17</v>
      </c>
      <c r="G10" s="19" t="s">
        <v>18</v>
      </c>
      <c r="H10" s="20" t="s">
        <v>19</v>
      </c>
      <c r="I10" s="21" t="str">
        <f>IF(ISNA(VLOOKUP(G10,'Data sheet'!A1:B174,2,FALSE)),"",(VLOOKUP(G10,'Data sheet'!A1:B165,2,FALSE)))</f>
        <v>FO</v>
      </c>
    </row>
    <row r="11" spans="1:15" ht="27" customHeight="1" x14ac:dyDescent="0.2">
      <c r="A11" s="13">
        <v>2</v>
      </c>
      <c r="B11" s="14"/>
      <c r="C11" s="15"/>
      <c r="D11" s="16"/>
      <c r="E11" s="17"/>
      <c r="F11" s="18" t="s">
        <v>17</v>
      </c>
      <c r="G11" s="19" t="s">
        <v>18</v>
      </c>
      <c r="H11" s="20" t="s">
        <v>19</v>
      </c>
      <c r="I11" s="21" t="str">
        <f>IF(ISNA(VLOOKUP(G11,'Data sheet'!A1:B174,2,FALSE)),"",(VLOOKUP(G11,'Data sheet'!A1:B165,2,FALSE)))</f>
        <v>FO</v>
      </c>
    </row>
    <row r="12" spans="1:15" ht="27" customHeight="1" x14ac:dyDescent="0.2">
      <c r="A12" s="13">
        <v>2</v>
      </c>
      <c r="B12" s="14"/>
      <c r="C12" s="15"/>
      <c r="D12" s="16"/>
      <c r="E12" s="17"/>
      <c r="F12" s="18" t="s">
        <v>17</v>
      </c>
      <c r="G12" s="19" t="s">
        <v>18</v>
      </c>
      <c r="H12" s="20" t="s">
        <v>19</v>
      </c>
      <c r="I12" s="21" t="str">
        <f>IF(ISNA(VLOOKUP(G12,'Data sheet'!A1:B174,2,FALSE)),"",(VLOOKUP(G12,'Data sheet'!A1:B165,2,FALSE)))</f>
        <v>FO</v>
      </c>
    </row>
    <row r="13" spans="1:15" ht="27" customHeight="1" x14ac:dyDescent="0.2">
      <c r="A13" s="13">
        <v>2</v>
      </c>
      <c r="B13" s="14"/>
      <c r="C13" s="15"/>
      <c r="D13" s="16"/>
      <c r="E13" s="17"/>
      <c r="F13" s="18" t="s">
        <v>17</v>
      </c>
      <c r="G13" s="19" t="s">
        <v>18</v>
      </c>
      <c r="H13" s="20" t="s">
        <v>19</v>
      </c>
      <c r="I13" s="21" t="str">
        <f>IF(ISNA(VLOOKUP(G13,'Data sheet'!A1:B174,2,FALSE)),"",(VLOOKUP(G13,'Data sheet'!A1:B165,2,FALSE)))</f>
        <v>FO</v>
      </c>
    </row>
    <row r="14" spans="1:15" ht="27" customHeight="1" x14ac:dyDescent="0.2">
      <c r="A14" s="13">
        <v>2</v>
      </c>
      <c r="B14" s="14"/>
      <c r="C14" s="15"/>
      <c r="D14" s="16"/>
      <c r="E14" s="17"/>
      <c r="F14" s="18" t="s">
        <v>17</v>
      </c>
      <c r="G14" s="19" t="s">
        <v>18</v>
      </c>
      <c r="H14" s="20" t="s">
        <v>19</v>
      </c>
      <c r="I14" s="21" t="str">
        <f>IF(ISNA(VLOOKUP(G14,'Data sheet'!A1:B180,2,FALSE)),"",(VLOOKUP(G14,'Data sheet'!A1:B171,2,FALSE)))</f>
        <v>FO</v>
      </c>
    </row>
    <row r="15" spans="1:15" ht="27" customHeight="1" x14ac:dyDescent="0.2">
      <c r="A15" s="13">
        <v>2</v>
      </c>
      <c r="B15" s="14"/>
      <c r="C15" s="15"/>
      <c r="D15" s="16"/>
      <c r="E15" s="17"/>
      <c r="F15" s="18" t="s">
        <v>17</v>
      </c>
      <c r="G15" s="19" t="s">
        <v>18</v>
      </c>
      <c r="H15" s="20" t="s">
        <v>19</v>
      </c>
      <c r="I15" s="21" t="str">
        <f>IF(ISNA(VLOOKUP(G15,'Data sheet'!A1:B181,2,FALSE)),"",(VLOOKUP(G15,'Data sheet'!A1:B172,2,FALSE)))</f>
        <v>FO</v>
      </c>
    </row>
    <row r="16" spans="1:15" ht="27" customHeight="1" x14ac:dyDescent="0.2">
      <c r="A16" s="13">
        <v>2</v>
      </c>
      <c r="B16" s="14"/>
      <c r="C16" s="15"/>
      <c r="D16" s="16"/>
      <c r="E16" s="17"/>
      <c r="F16" s="18" t="s">
        <v>17</v>
      </c>
      <c r="G16" s="19" t="s">
        <v>18</v>
      </c>
      <c r="H16" s="20" t="s">
        <v>19</v>
      </c>
      <c r="I16" s="21" t="str">
        <f>IF(ISNA(VLOOKUP(G16,'Data sheet'!A1:B182,2,FALSE)),"",(VLOOKUP(G16,'Data sheet'!A1:B173,2,FALSE)))</f>
        <v>FO</v>
      </c>
    </row>
    <row r="17" spans="1:9" ht="27" customHeight="1" x14ac:dyDescent="0.2">
      <c r="A17" s="13">
        <v>2</v>
      </c>
      <c r="B17" s="14"/>
      <c r="C17" s="15"/>
      <c r="D17" s="16"/>
      <c r="E17" s="17"/>
      <c r="F17" s="18" t="s">
        <v>17</v>
      </c>
      <c r="G17" s="19" t="s">
        <v>18</v>
      </c>
      <c r="H17" s="20" t="s">
        <v>19</v>
      </c>
      <c r="I17" s="21" t="str">
        <f>IF(ISNA(VLOOKUP(G17,'Data sheet'!A1:B183,2,FALSE)),"",(VLOOKUP(G17,'Data sheet'!A1:B174,2,FALSE)))</f>
        <v>FO</v>
      </c>
    </row>
    <row r="18" spans="1:9" ht="27" customHeight="1" x14ac:dyDescent="0.2">
      <c r="A18" s="13">
        <v>2</v>
      </c>
      <c r="B18" s="14"/>
      <c r="C18" s="15"/>
      <c r="D18" s="16"/>
      <c r="E18" s="17"/>
      <c r="F18" s="18" t="s">
        <v>17</v>
      </c>
      <c r="G18" s="19" t="s">
        <v>18</v>
      </c>
      <c r="H18" s="20" t="s">
        <v>19</v>
      </c>
      <c r="I18" s="21" t="str">
        <f>IF(ISNA(VLOOKUP(G18,'Data sheet'!A1:B184,2,FALSE)),"",(VLOOKUP(G18,'Data sheet'!A1:B175,2,FALSE)))</f>
        <v>FO</v>
      </c>
    </row>
    <row r="19" spans="1:9" ht="27" customHeight="1" x14ac:dyDescent="0.2">
      <c r="A19" s="13">
        <v>2</v>
      </c>
      <c r="B19" s="14"/>
      <c r="C19" s="15"/>
      <c r="D19" s="16"/>
      <c r="E19" s="17"/>
      <c r="F19" s="18" t="s">
        <v>17</v>
      </c>
      <c r="G19" s="19" t="s">
        <v>18</v>
      </c>
      <c r="H19" s="20" t="s">
        <v>19</v>
      </c>
      <c r="I19" s="21" t="str">
        <f>IF(ISNA(VLOOKUP(G19,'Data sheet'!A1:B185,2,FALSE)),"",(VLOOKUP(G19,'Data sheet'!A1:B176,2,FALSE)))</f>
        <v>FO</v>
      </c>
    </row>
    <row r="20" spans="1:9" ht="27" customHeight="1" x14ac:dyDescent="0.2">
      <c r="A20" s="13">
        <v>2</v>
      </c>
      <c r="B20" s="14"/>
      <c r="C20" s="15"/>
      <c r="D20" s="16"/>
      <c r="E20" s="17"/>
      <c r="F20" s="18" t="s">
        <v>17</v>
      </c>
      <c r="G20" s="19" t="s">
        <v>18</v>
      </c>
      <c r="H20" s="20" t="s">
        <v>19</v>
      </c>
      <c r="I20" s="21" t="str">
        <f>IF(ISNA(VLOOKUP(G20,'Data sheet'!A1:B186,2,FALSE)),"",(VLOOKUP(G20,'Data sheet'!A1:B177,2,FALSE)))</f>
        <v>FO</v>
      </c>
    </row>
    <row r="21" spans="1:9" ht="27" customHeight="1" x14ac:dyDescent="0.2">
      <c r="A21" s="22">
        <v>2</v>
      </c>
      <c r="B21" s="23"/>
      <c r="C21" s="24"/>
      <c r="D21" s="25"/>
      <c r="E21" s="26"/>
      <c r="F21" s="27" t="s">
        <v>17</v>
      </c>
      <c r="G21" s="28" t="s">
        <v>18</v>
      </c>
      <c r="H21" s="29" t="s">
        <v>19</v>
      </c>
      <c r="I21" s="30" t="str">
        <f>IF(ISNA(VLOOKUP(G21,'Data sheet'!A1:B187,2,FALSE)),"",(VLOOKUP(G21,'Data sheet'!A1:B178,2,FALSE)))</f>
        <v>FO</v>
      </c>
    </row>
  </sheetData>
  <sheetProtection formatCells="0"/>
  <mergeCells count="6">
    <mergeCell ref="A1:D3"/>
    <mergeCell ref="E1:I1"/>
    <mergeCell ref="H2:I2"/>
    <mergeCell ref="H3:I3"/>
    <mergeCell ref="B4:D4"/>
    <mergeCell ref="E4:I4"/>
  </mergeCells>
  <conditionalFormatting sqref="E6:E21">
    <cfRule type="expression" dxfId="0" priority="1">
      <formula>A6:E21&lt;&gt;""</formula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orientation="landscape" useFirstPageNumber="1" horizontalDpi="4294967295" verticalDpi="429496729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Invalid Name" error="Please select a name from the list." xr:uid="{00000000-0002-0000-0200-000000000000}">
          <x14:formula1>
            <xm:f>'Data sheet'!$D$1:$D$100</xm:f>
          </x14:formula1>
          <xm:sqref>F2</xm:sqref>
        </x14:dataValidation>
        <x14:dataValidation type="list" errorStyle="warning" allowBlank="1" showErrorMessage="1" errorTitle="Invalid Material" error="Please select a material from the list or enter a valid material code." xr:uid="{00000000-0002-0000-0200-000001000000}">
          <x14:formula1>
            <xm:f>'Data sheet'!$A$1:$A$200</xm:f>
          </x14:formula1>
          <xm:sqref>G6:G21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workbookViewId="0">
      <selection sqref="A1:D3"/>
    </sheetView>
  </sheetViews>
  <sheetFormatPr defaultColWidth="8.7109375" defaultRowHeight="12.75" customHeight="1" x14ac:dyDescent="0.2"/>
  <cols>
    <col min="1" max="1" width="11.42578125" style="1" customWidth="1"/>
    <col min="2" max="2" width="8.7109375" style="1" customWidth="1"/>
    <col min="3" max="3" width="11.42578125" style="1" customWidth="1"/>
    <col min="4" max="4" width="9.5703125" style="1" customWidth="1"/>
    <col min="5" max="5" width="15.5703125" style="1" customWidth="1"/>
    <col min="6" max="6" width="45.140625" style="1" customWidth="1"/>
    <col min="7" max="7" width="13.140625" style="2" customWidth="1"/>
    <col min="8" max="8" width="9.42578125" style="1" customWidth="1"/>
    <col min="9" max="9" width="8.7109375" style="1" customWidth="1"/>
    <col min="10" max="16384" width="8.7109375" style="1"/>
  </cols>
  <sheetData>
    <row r="1" spans="1:15" ht="17.45" customHeight="1" x14ac:dyDescent="0.2">
      <c r="A1" s="35"/>
      <c r="B1" s="35"/>
      <c r="C1" s="35"/>
      <c r="D1" s="35"/>
      <c r="E1" s="41" t="s">
        <v>0</v>
      </c>
      <c r="F1" s="41"/>
      <c r="G1" s="41"/>
      <c r="H1" s="41"/>
      <c r="I1" s="41"/>
      <c r="J1" s="3"/>
      <c r="K1" s="3"/>
      <c r="L1" s="3"/>
      <c r="M1" s="3"/>
      <c r="N1" s="3"/>
      <c r="O1" s="3"/>
    </row>
    <row r="2" spans="1:15" ht="17.100000000000001" customHeight="1" x14ac:dyDescent="0.2">
      <c r="A2" s="35"/>
      <c r="B2" s="35"/>
      <c r="C2" s="35"/>
      <c r="D2" s="35"/>
      <c r="E2" s="4" t="s">
        <v>1</v>
      </c>
      <c r="F2" s="5" t="s">
        <v>2</v>
      </c>
      <c r="G2" s="6" t="s">
        <v>3</v>
      </c>
      <c r="H2" s="44"/>
      <c r="I2" s="44"/>
    </row>
    <row r="3" spans="1:15" ht="17.100000000000001" customHeight="1" x14ac:dyDescent="0.2">
      <c r="A3" s="35"/>
      <c r="B3" s="35"/>
      <c r="C3" s="35"/>
      <c r="D3" s="35"/>
      <c r="E3" s="7" t="s">
        <v>4</v>
      </c>
      <c r="F3" s="8"/>
      <c r="G3" s="9" t="s">
        <v>5</v>
      </c>
      <c r="H3" s="46"/>
      <c r="I3" s="46"/>
    </row>
    <row r="4" spans="1:15" ht="16.5" customHeight="1" x14ac:dyDescent="0.2">
      <c r="A4" s="10" t="s">
        <v>6</v>
      </c>
      <c r="B4" s="48"/>
      <c r="C4" s="48"/>
      <c r="D4" s="48"/>
      <c r="E4" s="50" t="s">
        <v>7</v>
      </c>
      <c r="F4" s="50"/>
      <c r="G4" s="50"/>
      <c r="H4" s="50"/>
      <c r="I4" s="50"/>
    </row>
    <row r="5" spans="1:15" ht="21.75" customHeight="1" x14ac:dyDescent="0.2">
      <c r="A5" s="11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2" t="s">
        <v>14</v>
      </c>
      <c r="H5" s="11" t="s">
        <v>15</v>
      </c>
      <c r="I5" s="12" t="s">
        <v>16</v>
      </c>
    </row>
    <row r="6" spans="1:15" ht="27" customHeight="1" x14ac:dyDescent="0.2">
      <c r="A6" s="13">
        <v>2</v>
      </c>
      <c r="B6" s="14"/>
      <c r="C6" s="15"/>
      <c r="D6" s="16"/>
      <c r="E6" s="17"/>
      <c r="F6" s="18" t="s">
        <v>17</v>
      </c>
      <c r="G6" s="19" t="s">
        <v>18</v>
      </c>
      <c r="H6" s="20" t="s">
        <v>19</v>
      </c>
      <c r="I6" s="21" t="str">
        <f>IF(ISNA(VLOOKUP(G6,'Data sheet'!A1:B174,2,FALSE)),"",(VLOOKUP(G6,'Data sheet'!A1:B165,2,FALSE)))</f>
        <v>FO</v>
      </c>
    </row>
    <row r="7" spans="1:15" ht="27" customHeight="1" x14ac:dyDescent="0.2">
      <c r="A7" s="13">
        <v>2</v>
      </c>
      <c r="B7" s="14"/>
      <c r="C7" s="15"/>
      <c r="D7" s="16"/>
      <c r="E7" s="17"/>
      <c r="F7" s="18" t="s">
        <v>17</v>
      </c>
      <c r="G7" s="19" t="s">
        <v>18</v>
      </c>
      <c r="H7" s="20" t="s">
        <v>19</v>
      </c>
      <c r="I7" s="21" t="str">
        <f>IF(ISNA(VLOOKUP(G7,'Data sheet'!A1:B174,2,FALSE)),"",(VLOOKUP(G7,'Data sheet'!A1:B165,2,FALSE)))</f>
        <v>FO</v>
      </c>
    </row>
    <row r="8" spans="1:15" ht="27" customHeight="1" x14ac:dyDescent="0.2">
      <c r="A8" s="13">
        <v>1</v>
      </c>
      <c r="B8" s="14"/>
      <c r="C8" s="15"/>
      <c r="D8" s="16"/>
      <c r="E8" s="17"/>
      <c r="F8" s="18" t="s">
        <v>71</v>
      </c>
      <c r="G8" s="19" t="s">
        <v>18</v>
      </c>
      <c r="H8" s="20" t="s">
        <v>72</v>
      </c>
      <c r="I8" s="21" t="str">
        <f>IF(ISNA(VLOOKUP(G8,'Data sheet'!A1:B174,2,FALSE)),"",(VLOOKUP(G8,'Data sheet'!A1:B165,2,FALSE)))</f>
        <v>FO</v>
      </c>
    </row>
    <row r="9" spans="1:15" ht="27" customHeight="1" x14ac:dyDescent="0.2">
      <c r="A9" s="13"/>
      <c r="B9" s="14"/>
      <c r="C9" s="15"/>
      <c r="D9" s="16"/>
      <c r="E9" s="17"/>
      <c r="F9" s="18"/>
      <c r="G9" s="19"/>
      <c r="H9" s="20"/>
      <c r="I9" s="21" t="str">
        <f>IF(ISNA(VLOOKUP(G9,'Data sheet'!A1:B174,2,FALSE)),"",(VLOOKUP(G9,'Data sheet'!A1:B165,2,FALSE)))</f>
        <v/>
      </c>
    </row>
    <row r="10" spans="1:15" ht="27" customHeight="1" x14ac:dyDescent="0.2">
      <c r="A10" s="13"/>
      <c r="B10" s="14"/>
      <c r="C10" s="15"/>
      <c r="D10" s="16"/>
      <c r="E10" s="17"/>
      <c r="F10" s="18"/>
      <c r="G10" s="19"/>
      <c r="H10" s="20"/>
      <c r="I10" s="21" t="str">
        <f>IF(ISNA(VLOOKUP(G10,'Data sheet'!A1:B174,2,FALSE)),"",(VLOOKUP(G10,'Data sheet'!A1:B165,2,FALSE)))</f>
        <v/>
      </c>
    </row>
    <row r="11" spans="1:15" ht="27" customHeight="1" x14ac:dyDescent="0.2">
      <c r="A11" s="13"/>
      <c r="B11" s="14"/>
      <c r="C11" s="15"/>
      <c r="D11" s="16"/>
      <c r="E11" s="17"/>
      <c r="F11" s="18"/>
      <c r="G11" s="19"/>
      <c r="H11" s="20"/>
      <c r="I11" s="21" t="str">
        <f>IF(ISNA(VLOOKUP(G11,'Data sheet'!A1:B174,2,FALSE)),"",(VLOOKUP(G11,'Data sheet'!A1:B165,2,FALSE)))</f>
        <v/>
      </c>
    </row>
    <row r="12" spans="1:15" ht="27" customHeight="1" x14ac:dyDescent="0.2">
      <c r="A12" s="13"/>
      <c r="B12" s="14"/>
      <c r="C12" s="15"/>
      <c r="D12" s="16"/>
      <c r="E12" s="17"/>
      <c r="F12" s="18"/>
      <c r="G12" s="19"/>
      <c r="H12" s="20"/>
      <c r="I12" s="21" t="str">
        <f>IF(ISNA(VLOOKUP(G12,'Data sheet'!A1:B174,2,FALSE)),"",(VLOOKUP(G12,'Data sheet'!A1:B165,2,FALSE)))</f>
        <v/>
      </c>
    </row>
    <row r="13" spans="1:15" ht="27" customHeight="1" x14ac:dyDescent="0.2">
      <c r="A13" s="13"/>
      <c r="B13" s="14"/>
      <c r="C13" s="15"/>
      <c r="D13" s="16"/>
      <c r="E13" s="17"/>
      <c r="F13" s="18"/>
      <c r="G13" s="19"/>
      <c r="H13" s="20"/>
      <c r="I13" s="21" t="str">
        <f>IF(ISNA(VLOOKUP(G13,'Data sheet'!A1:B174,2,FALSE)),"",(VLOOKUP(G13,'Data sheet'!A1:B165,2,FALSE)))</f>
        <v/>
      </c>
    </row>
    <row r="14" spans="1:15" ht="27" customHeight="1" x14ac:dyDescent="0.2">
      <c r="A14" s="13"/>
      <c r="B14" s="14"/>
      <c r="C14" s="15"/>
      <c r="D14" s="16"/>
      <c r="E14" s="17"/>
      <c r="F14" s="18"/>
      <c r="G14" s="19"/>
      <c r="H14" s="20"/>
      <c r="I14" s="21" t="str">
        <f>IF(ISNA(VLOOKUP(G14,'Data sheet'!A1:B180,2,FALSE)),"",(VLOOKUP(G14,'Data sheet'!A1:B171,2,FALSE)))</f>
        <v/>
      </c>
    </row>
    <row r="15" spans="1:15" ht="27" customHeight="1" x14ac:dyDescent="0.2">
      <c r="A15" s="13"/>
      <c r="B15" s="14"/>
      <c r="C15" s="15"/>
      <c r="D15" s="16"/>
      <c r="E15" s="17"/>
      <c r="F15" s="18"/>
      <c r="G15" s="19"/>
      <c r="H15" s="20"/>
      <c r="I15" s="21" t="str">
        <f>IF(ISNA(VLOOKUP(G15,'Data sheet'!A1:B181,2,FALSE)),"",(VLOOKUP(G15,'Data sheet'!A1:B172,2,FALSE)))</f>
        <v/>
      </c>
    </row>
    <row r="16" spans="1:15" ht="27" customHeight="1" x14ac:dyDescent="0.2">
      <c r="A16" s="13"/>
      <c r="B16" s="14"/>
      <c r="C16" s="15"/>
      <c r="D16" s="16"/>
      <c r="E16" s="17"/>
      <c r="F16" s="18"/>
      <c r="G16" s="19"/>
      <c r="H16" s="20"/>
      <c r="I16" s="21" t="str">
        <f>IF(ISNA(VLOOKUP(G16,'Data sheet'!A1:B182,2,FALSE)),"",(VLOOKUP(G16,'Data sheet'!A1:B173,2,FALSE)))</f>
        <v/>
      </c>
    </row>
    <row r="17" spans="1:9" ht="27" customHeight="1" x14ac:dyDescent="0.2">
      <c r="A17" s="13"/>
      <c r="B17" s="14"/>
      <c r="C17" s="15"/>
      <c r="D17" s="16"/>
      <c r="E17" s="17"/>
      <c r="F17" s="18"/>
      <c r="G17" s="19"/>
      <c r="H17" s="20"/>
      <c r="I17" s="21" t="str">
        <f>IF(ISNA(VLOOKUP(G17,'Data sheet'!A1:B183,2,FALSE)),"",(VLOOKUP(G17,'Data sheet'!A1:B174,2,FALSE)))</f>
        <v/>
      </c>
    </row>
    <row r="18" spans="1:9" ht="27" customHeight="1" x14ac:dyDescent="0.2">
      <c r="A18" s="13"/>
      <c r="B18" s="14"/>
      <c r="C18" s="15"/>
      <c r="D18" s="16"/>
      <c r="E18" s="17"/>
      <c r="F18" s="18"/>
      <c r="G18" s="19"/>
      <c r="H18" s="20"/>
      <c r="I18" s="21" t="str">
        <f>IF(ISNA(VLOOKUP(G18,'Data sheet'!A1:B184,2,FALSE)),"",(VLOOKUP(G18,'Data sheet'!A1:B175,2,FALSE)))</f>
        <v/>
      </c>
    </row>
    <row r="19" spans="1:9" ht="27" customHeight="1" x14ac:dyDescent="0.2">
      <c r="A19" s="13"/>
      <c r="B19" s="14"/>
      <c r="C19" s="15"/>
      <c r="D19" s="16"/>
      <c r="E19" s="17"/>
      <c r="F19" s="18"/>
      <c r="G19" s="19"/>
      <c r="H19" s="20"/>
      <c r="I19" s="21" t="str">
        <f>IF(ISNA(VLOOKUP(G19,'Data sheet'!A1:B185,2,FALSE)),"",(VLOOKUP(G19,'Data sheet'!A1:B176,2,FALSE)))</f>
        <v/>
      </c>
    </row>
    <row r="20" spans="1:9" ht="27" customHeight="1" x14ac:dyDescent="0.2">
      <c r="A20" s="13"/>
      <c r="B20" s="14"/>
      <c r="C20" s="15"/>
      <c r="D20" s="16"/>
      <c r="E20" s="17"/>
      <c r="F20" s="18"/>
      <c r="G20" s="19"/>
      <c r="H20" s="20"/>
      <c r="I20" s="21" t="str">
        <f>IF(ISNA(VLOOKUP(G20,'Data sheet'!A1:B186,2,FALSE)),"",(VLOOKUP(G20,'Data sheet'!A1:B177,2,FALSE)))</f>
        <v/>
      </c>
    </row>
    <row r="21" spans="1:9" ht="27" customHeight="1" x14ac:dyDescent="0.2">
      <c r="A21" s="22"/>
      <c r="B21" s="23"/>
      <c r="C21" s="24"/>
      <c r="D21" s="25"/>
      <c r="E21" s="26"/>
      <c r="F21" s="27"/>
      <c r="G21" s="28"/>
      <c r="H21" s="29"/>
      <c r="I21" s="30" t="str">
        <f>IF(ISNA(VLOOKUP(G21,'Data sheet'!A1:B187,2,FALSE)),"",(VLOOKUP(G21,'Data sheet'!A1:B178,2,FALSE)))</f>
        <v/>
      </c>
    </row>
  </sheetData>
  <mergeCells count="6">
    <mergeCell ref="A1:D3"/>
    <mergeCell ref="E1:I1"/>
    <mergeCell ref="H2:I2"/>
    <mergeCell ref="H3:I3"/>
    <mergeCell ref="B4:D4"/>
    <mergeCell ref="E4:I4"/>
  </mergeCells>
  <printOptions horizontalCentered="1" verticalCentered="1"/>
  <pageMargins left="0.23622047244094491" right="0.23622047244094491" top="0.23622047244094491" bottom="0.23622047244094491" header="0.23622047244094491" footer="0.23622047244094491"/>
  <pageSetup orientation="landscape" useFirstPageNumber="1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Invalid Name" error="Please select a name from the list." xr:uid="{00000000-0002-0000-0400-000000000000}">
          <x14:formula1>
            <xm:f>'Data sheet'!$D$1:$D$100</xm:f>
          </x14:formula1>
          <xm:sqref>F2</xm:sqref>
        </x14:dataValidation>
        <x14:dataValidation type="list" errorStyle="warning" allowBlank="1" showErrorMessage="1" errorTitle="Invalid Material" error="Please select a material from the list or enter a valid material code." xr:uid="{00000000-0002-0000-0400-000001000000}">
          <x14:formula1>
            <xm:f>'Data sheet'!$A$1:$A$200</xm:f>
          </x14:formula1>
          <xm:sqref>G6:G21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zoomScaleNormal="100" workbookViewId="0">
      <selection activeCell="A13" sqref="A13"/>
    </sheetView>
  </sheetViews>
  <sheetFormatPr defaultRowHeight="15" x14ac:dyDescent="0.25"/>
  <cols>
    <col min="1" max="1" width="22.7109375" customWidth="1"/>
  </cols>
  <sheetData>
    <row r="1" spans="1:4" x14ac:dyDescent="0.25">
      <c r="A1" t="s">
        <v>20</v>
      </c>
      <c r="B1" t="s">
        <v>21</v>
      </c>
      <c r="D1" t="s">
        <v>2</v>
      </c>
    </row>
    <row r="2" spans="1:4" x14ac:dyDescent="0.25">
      <c r="A2" t="s">
        <v>22</v>
      </c>
      <c r="B2" t="s">
        <v>23</v>
      </c>
      <c r="D2" t="s">
        <v>24</v>
      </c>
    </row>
    <row r="3" spans="1:4" x14ac:dyDescent="0.25">
      <c r="A3" t="s">
        <v>25</v>
      </c>
      <c r="B3" t="s">
        <v>23</v>
      </c>
      <c r="D3" t="s">
        <v>26</v>
      </c>
    </row>
    <row r="4" spans="1:4" x14ac:dyDescent="0.25">
      <c r="A4" t="s">
        <v>27</v>
      </c>
      <c r="B4" t="s">
        <v>23</v>
      </c>
    </row>
    <row r="5" spans="1:4" x14ac:dyDescent="0.25">
      <c r="A5" t="s">
        <v>28</v>
      </c>
      <c r="B5" t="s">
        <v>29</v>
      </c>
    </row>
    <row r="6" spans="1:4" x14ac:dyDescent="0.25">
      <c r="A6" t="s">
        <v>30</v>
      </c>
      <c r="B6" t="s">
        <v>29</v>
      </c>
    </row>
    <row r="7" spans="1:4" x14ac:dyDescent="0.25">
      <c r="A7" t="s">
        <v>31</v>
      </c>
      <c r="B7" t="s">
        <v>29</v>
      </c>
    </row>
    <row r="8" spans="1:4" x14ac:dyDescent="0.25">
      <c r="A8" t="s">
        <v>32</v>
      </c>
      <c r="B8" t="s">
        <v>29</v>
      </c>
    </row>
    <row r="9" spans="1:4" x14ac:dyDescent="0.25">
      <c r="A9" t="s">
        <v>33</v>
      </c>
      <c r="B9" t="s">
        <v>34</v>
      </c>
    </row>
    <row r="10" spans="1:4" x14ac:dyDescent="0.25">
      <c r="A10" t="s">
        <v>35</v>
      </c>
      <c r="B10" t="s">
        <v>34</v>
      </c>
    </row>
    <row r="11" spans="1:4" x14ac:dyDescent="0.25">
      <c r="A11" t="s">
        <v>36</v>
      </c>
      <c r="B11" t="s">
        <v>34</v>
      </c>
    </row>
    <row r="12" spans="1:4" x14ac:dyDescent="0.25">
      <c r="A12" t="s">
        <v>37</v>
      </c>
      <c r="B12" t="s">
        <v>38</v>
      </c>
    </row>
    <row r="13" spans="1:4" x14ac:dyDescent="0.25">
      <c r="A13" t="s">
        <v>39</v>
      </c>
      <c r="B13" t="s">
        <v>38</v>
      </c>
    </row>
    <row r="14" spans="1:4" x14ac:dyDescent="0.25">
      <c r="A14" t="s">
        <v>40</v>
      </c>
      <c r="B14" t="s">
        <v>38</v>
      </c>
    </row>
    <row r="15" spans="1:4" x14ac:dyDescent="0.25">
      <c r="A15" t="s">
        <v>41</v>
      </c>
      <c r="B15" t="s">
        <v>42</v>
      </c>
    </row>
    <row r="16" spans="1:4" x14ac:dyDescent="0.25">
      <c r="A16" t="s">
        <v>43</v>
      </c>
      <c r="B16" t="s">
        <v>42</v>
      </c>
    </row>
    <row r="17" spans="1:2" x14ac:dyDescent="0.25">
      <c r="A17" t="s">
        <v>44</v>
      </c>
      <c r="B17" t="s">
        <v>42</v>
      </c>
    </row>
    <row r="18" spans="1:2" x14ac:dyDescent="0.25">
      <c r="A18" t="s">
        <v>45</v>
      </c>
      <c r="B18" t="s">
        <v>42</v>
      </c>
    </row>
    <row r="19" spans="1:2" x14ac:dyDescent="0.25">
      <c r="A19" t="s">
        <v>46</v>
      </c>
      <c r="B19" t="s">
        <v>47</v>
      </c>
    </row>
    <row r="20" spans="1:2" x14ac:dyDescent="0.25">
      <c r="A20" s="31">
        <v>4130</v>
      </c>
      <c r="B20" t="s">
        <v>48</v>
      </c>
    </row>
    <row r="21" spans="1:2" x14ac:dyDescent="0.25">
      <c r="A21" t="s">
        <v>49</v>
      </c>
      <c r="B21" t="s">
        <v>48</v>
      </c>
    </row>
    <row r="22" spans="1:2" x14ac:dyDescent="0.25">
      <c r="A22" t="s">
        <v>50</v>
      </c>
      <c r="B22" t="s">
        <v>23</v>
      </c>
    </row>
    <row r="23" spans="1:2" x14ac:dyDescent="0.25">
      <c r="A23" t="s">
        <v>51</v>
      </c>
      <c r="B23" t="s">
        <v>52</v>
      </c>
    </row>
    <row r="24" spans="1:2" x14ac:dyDescent="0.25">
      <c r="A24" t="s">
        <v>53</v>
      </c>
      <c r="B24" t="s">
        <v>52</v>
      </c>
    </row>
    <row r="25" spans="1:2" x14ac:dyDescent="0.25">
      <c r="A25" s="31">
        <v>316</v>
      </c>
      <c r="B25" t="s">
        <v>52</v>
      </c>
    </row>
    <row r="26" spans="1:2" x14ac:dyDescent="0.25">
      <c r="A26" t="s">
        <v>54</v>
      </c>
      <c r="B26" t="s">
        <v>52</v>
      </c>
    </row>
    <row r="27" spans="1:2" x14ac:dyDescent="0.25">
      <c r="A27" t="s">
        <v>18</v>
      </c>
      <c r="B27" t="s">
        <v>29</v>
      </c>
    </row>
    <row r="28" spans="1:2" x14ac:dyDescent="0.25">
      <c r="A28" t="s">
        <v>55</v>
      </c>
      <c r="B28" t="s">
        <v>52</v>
      </c>
    </row>
    <row r="29" spans="1:2" x14ac:dyDescent="0.25">
      <c r="A29" t="s">
        <v>56</v>
      </c>
      <c r="B29" t="s">
        <v>52</v>
      </c>
    </row>
    <row r="30" spans="1:2" x14ac:dyDescent="0.25">
      <c r="A30" t="s">
        <v>57</v>
      </c>
      <c r="B30" t="s">
        <v>52</v>
      </c>
    </row>
    <row r="31" spans="1:2" x14ac:dyDescent="0.25">
      <c r="A31" s="31">
        <v>1018</v>
      </c>
      <c r="B31" t="s">
        <v>38</v>
      </c>
    </row>
    <row r="32" spans="1:2" x14ac:dyDescent="0.25">
      <c r="A32" t="s">
        <v>58</v>
      </c>
      <c r="B32" t="s">
        <v>52</v>
      </c>
    </row>
    <row r="33" spans="1:2" x14ac:dyDescent="0.25">
      <c r="A33" t="s">
        <v>59</v>
      </c>
      <c r="B33" t="s">
        <v>52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52</v>
      </c>
    </row>
    <row r="36" spans="1:2" x14ac:dyDescent="0.25">
      <c r="A36" t="s">
        <v>63</v>
      </c>
      <c r="B36" t="s">
        <v>52</v>
      </c>
    </row>
    <row r="37" spans="1:2" x14ac:dyDescent="0.25">
      <c r="A37" t="s">
        <v>64</v>
      </c>
      <c r="B37" t="s">
        <v>52</v>
      </c>
    </row>
    <row r="38" spans="1:2" x14ac:dyDescent="0.25">
      <c r="A38" t="s">
        <v>65</v>
      </c>
      <c r="B38" t="s">
        <v>52</v>
      </c>
    </row>
    <row r="39" spans="1:2" x14ac:dyDescent="0.25">
      <c r="A39" t="s">
        <v>66</v>
      </c>
      <c r="B39" t="s">
        <v>42</v>
      </c>
    </row>
    <row r="40" spans="1:2" x14ac:dyDescent="0.25">
      <c r="A40" t="s">
        <v>67</v>
      </c>
      <c r="B40" t="s">
        <v>38</v>
      </c>
    </row>
    <row r="41" spans="1:2" x14ac:dyDescent="0.25">
      <c r="A41" t="s">
        <v>68</v>
      </c>
      <c r="B41" t="s">
        <v>52</v>
      </c>
    </row>
    <row r="42" spans="1:2" x14ac:dyDescent="0.25">
      <c r="A42" t="s">
        <v>69</v>
      </c>
      <c r="B42" t="s">
        <v>52</v>
      </c>
    </row>
    <row r="43" spans="1:2" x14ac:dyDescent="0.25">
      <c r="A43" t="s">
        <v>70</v>
      </c>
      <c r="B43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2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50" customWidth="1"/>
    <col min="4" max="4" width="20" customWidth="1"/>
    <col min="5" max="5" width="12" customWidth="1"/>
    <col min="6" max="6" width="10" customWidth="1"/>
    <col min="7" max="7" width="12" customWidth="1"/>
  </cols>
  <sheetData>
    <row r="1" spans="1:7" s="32" customFormat="1" x14ac:dyDescent="0.25">
      <c r="A1" s="33" t="s">
        <v>8</v>
      </c>
      <c r="B1" s="33" t="s">
        <v>15</v>
      </c>
      <c r="C1" s="33" t="s">
        <v>13</v>
      </c>
      <c r="D1" s="33" t="s">
        <v>14</v>
      </c>
      <c r="E1" s="33" t="s">
        <v>16</v>
      </c>
      <c r="F1" s="33" t="s">
        <v>73</v>
      </c>
      <c r="G1" s="33" t="s">
        <v>74</v>
      </c>
    </row>
    <row r="2" spans="1:7" x14ac:dyDescent="0.25">
      <c r="A2" s="34">
        <v>2</v>
      </c>
      <c r="B2" s="34" t="s">
        <v>19</v>
      </c>
      <c r="C2" s="34" t="s">
        <v>17</v>
      </c>
      <c r="D2" s="34" t="s">
        <v>18</v>
      </c>
      <c r="E2" s="34" t="s">
        <v>29</v>
      </c>
      <c r="F2" s="34" t="s">
        <v>75</v>
      </c>
      <c r="G2" s="34">
        <v>1</v>
      </c>
    </row>
    <row r="3" spans="1:7" x14ac:dyDescent="0.25">
      <c r="A3" s="34">
        <v>2</v>
      </c>
      <c r="B3" s="34" t="s">
        <v>19</v>
      </c>
      <c r="C3" s="34" t="s">
        <v>17</v>
      </c>
      <c r="D3" s="34" t="s">
        <v>18</v>
      </c>
      <c r="E3" s="34" t="s">
        <v>29</v>
      </c>
      <c r="F3" s="34" t="s">
        <v>75</v>
      </c>
      <c r="G3" s="34">
        <v>1</v>
      </c>
    </row>
    <row r="4" spans="1:7" x14ac:dyDescent="0.25">
      <c r="A4" s="34">
        <v>2</v>
      </c>
      <c r="B4" s="34" t="s">
        <v>19</v>
      </c>
      <c r="C4" s="34" t="s">
        <v>17</v>
      </c>
      <c r="D4" s="34" t="s">
        <v>18</v>
      </c>
      <c r="E4" s="34" t="s">
        <v>29</v>
      </c>
      <c r="F4" s="34" t="s">
        <v>75</v>
      </c>
      <c r="G4" s="34">
        <v>1</v>
      </c>
    </row>
    <row r="5" spans="1:7" x14ac:dyDescent="0.25">
      <c r="A5" s="34">
        <v>2</v>
      </c>
      <c r="B5" s="34" t="s">
        <v>19</v>
      </c>
      <c r="C5" s="34" t="s">
        <v>17</v>
      </c>
      <c r="D5" s="34" t="s">
        <v>18</v>
      </c>
      <c r="E5" s="34" t="s">
        <v>29</v>
      </c>
      <c r="F5" s="34" t="s">
        <v>75</v>
      </c>
      <c r="G5" s="34">
        <v>1</v>
      </c>
    </row>
    <row r="6" spans="1:7" x14ac:dyDescent="0.25">
      <c r="A6" s="34">
        <v>2</v>
      </c>
      <c r="B6" s="34" t="s">
        <v>19</v>
      </c>
      <c r="C6" s="34" t="s">
        <v>17</v>
      </c>
      <c r="D6" s="34" t="s">
        <v>18</v>
      </c>
      <c r="E6" s="34" t="s">
        <v>29</v>
      </c>
      <c r="F6" s="34" t="s">
        <v>75</v>
      </c>
      <c r="G6" s="34">
        <v>1</v>
      </c>
    </row>
    <row r="7" spans="1:7" x14ac:dyDescent="0.25">
      <c r="A7" s="34">
        <v>2</v>
      </c>
      <c r="B7" s="34" t="s">
        <v>19</v>
      </c>
      <c r="C7" s="34" t="s">
        <v>17</v>
      </c>
      <c r="D7" s="34" t="s">
        <v>18</v>
      </c>
      <c r="E7" s="34" t="s">
        <v>29</v>
      </c>
      <c r="F7" s="34" t="s">
        <v>75</v>
      </c>
      <c r="G7" s="34">
        <v>1</v>
      </c>
    </row>
    <row r="8" spans="1:7" x14ac:dyDescent="0.25">
      <c r="A8" s="34">
        <v>2</v>
      </c>
      <c r="B8" s="34" t="s">
        <v>19</v>
      </c>
      <c r="C8" s="34" t="s">
        <v>17</v>
      </c>
      <c r="D8" s="34" t="s">
        <v>18</v>
      </c>
      <c r="E8" s="34" t="s">
        <v>29</v>
      </c>
      <c r="F8" s="34" t="s">
        <v>75</v>
      </c>
      <c r="G8" s="34">
        <v>1</v>
      </c>
    </row>
    <row r="9" spans="1:7" x14ac:dyDescent="0.25">
      <c r="A9" s="34">
        <v>2</v>
      </c>
      <c r="B9" s="34" t="s">
        <v>19</v>
      </c>
      <c r="C9" s="34" t="s">
        <v>17</v>
      </c>
      <c r="D9" s="34" t="s">
        <v>18</v>
      </c>
      <c r="E9" s="34" t="s">
        <v>29</v>
      </c>
      <c r="F9" s="34" t="s">
        <v>75</v>
      </c>
      <c r="G9" s="34">
        <v>1</v>
      </c>
    </row>
    <row r="10" spans="1:7" x14ac:dyDescent="0.25">
      <c r="A10" s="34">
        <v>2</v>
      </c>
      <c r="B10" s="34" t="s">
        <v>19</v>
      </c>
      <c r="C10" s="34" t="s">
        <v>17</v>
      </c>
      <c r="D10" s="34" t="s">
        <v>18</v>
      </c>
      <c r="E10" s="34" t="s">
        <v>29</v>
      </c>
      <c r="F10" s="34" t="s">
        <v>75</v>
      </c>
      <c r="G10" s="34">
        <v>1</v>
      </c>
    </row>
    <row r="11" spans="1:7" x14ac:dyDescent="0.25">
      <c r="A11" s="34">
        <v>2</v>
      </c>
      <c r="B11" s="34" t="s">
        <v>19</v>
      </c>
      <c r="C11" s="34" t="s">
        <v>17</v>
      </c>
      <c r="D11" s="34" t="s">
        <v>18</v>
      </c>
      <c r="E11" s="34" t="s">
        <v>29</v>
      </c>
      <c r="F11" s="34" t="s">
        <v>75</v>
      </c>
      <c r="G11" s="34">
        <v>1</v>
      </c>
    </row>
    <row r="12" spans="1:7" x14ac:dyDescent="0.25">
      <c r="A12" s="34">
        <v>2</v>
      </c>
      <c r="B12" s="34" t="s">
        <v>19</v>
      </c>
      <c r="C12" s="34" t="s">
        <v>17</v>
      </c>
      <c r="D12" s="34" t="s">
        <v>18</v>
      </c>
      <c r="E12" s="34" t="s">
        <v>29</v>
      </c>
      <c r="F12" s="34" t="s">
        <v>75</v>
      </c>
      <c r="G12" s="34">
        <v>1</v>
      </c>
    </row>
    <row r="13" spans="1:7" x14ac:dyDescent="0.25">
      <c r="A13" s="34">
        <v>2</v>
      </c>
      <c r="B13" s="34" t="s">
        <v>19</v>
      </c>
      <c r="C13" s="34" t="s">
        <v>17</v>
      </c>
      <c r="D13" s="34" t="s">
        <v>18</v>
      </c>
      <c r="E13" s="34" t="s">
        <v>29</v>
      </c>
      <c r="F13" s="34" t="s">
        <v>75</v>
      </c>
      <c r="G13" s="34">
        <v>1</v>
      </c>
    </row>
    <row r="14" spans="1:7" x14ac:dyDescent="0.25">
      <c r="A14" s="34">
        <v>2</v>
      </c>
      <c r="B14" s="34" t="s">
        <v>19</v>
      </c>
      <c r="C14" s="34" t="s">
        <v>17</v>
      </c>
      <c r="D14" s="34" t="s">
        <v>18</v>
      </c>
      <c r="E14" s="34" t="s">
        <v>29</v>
      </c>
      <c r="F14" s="34" t="s">
        <v>75</v>
      </c>
      <c r="G14" s="34">
        <v>1</v>
      </c>
    </row>
    <row r="15" spans="1:7" x14ac:dyDescent="0.25">
      <c r="A15" s="34">
        <v>2</v>
      </c>
      <c r="B15" s="34" t="s">
        <v>19</v>
      </c>
      <c r="C15" s="34" t="s">
        <v>17</v>
      </c>
      <c r="D15" s="34" t="s">
        <v>18</v>
      </c>
      <c r="E15" s="34" t="s">
        <v>29</v>
      </c>
      <c r="F15" s="34" t="s">
        <v>75</v>
      </c>
      <c r="G15" s="34">
        <v>1</v>
      </c>
    </row>
    <row r="16" spans="1:7" x14ac:dyDescent="0.25">
      <c r="A16" s="34">
        <v>2</v>
      </c>
      <c r="B16" s="34" t="s">
        <v>19</v>
      </c>
      <c r="C16" s="34" t="s">
        <v>17</v>
      </c>
      <c r="D16" s="34" t="s">
        <v>18</v>
      </c>
      <c r="E16" s="34" t="s">
        <v>29</v>
      </c>
      <c r="F16" s="34" t="s">
        <v>75</v>
      </c>
      <c r="G16" s="34">
        <v>1</v>
      </c>
    </row>
    <row r="17" spans="1:7" x14ac:dyDescent="0.25">
      <c r="A17" s="34">
        <v>2</v>
      </c>
      <c r="B17" s="34" t="s">
        <v>19</v>
      </c>
      <c r="C17" s="34" t="s">
        <v>17</v>
      </c>
      <c r="D17" s="34" t="s">
        <v>18</v>
      </c>
      <c r="E17" s="34" t="s">
        <v>29</v>
      </c>
      <c r="F17" s="34" t="s">
        <v>75</v>
      </c>
      <c r="G17" s="34">
        <v>1</v>
      </c>
    </row>
    <row r="18" spans="1:7" x14ac:dyDescent="0.25">
      <c r="A18" s="34">
        <v>2</v>
      </c>
      <c r="B18" s="34" t="s">
        <v>19</v>
      </c>
      <c r="C18" s="34" t="s">
        <v>17</v>
      </c>
      <c r="D18" s="34" t="s">
        <v>18</v>
      </c>
      <c r="E18" s="34" t="s">
        <v>29</v>
      </c>
      <c r="F18" s="34" t="s">
        <v>75</v>
      </c>
      <c r="G18" s="34">
        <v>1</v>
      </c>
    </row>
    <row r="19" spans="1:7" x14ac:dyDescent="0.25">
      <c r="A19" s="34">
        <v>2</v>
      </c>
      <c r="B19" s="34" t="s">
        <v>19</v>
      </c>
      <c r="C19" s="34" t="s">
        <v>17</v>
      </c>
      <c r="D19" s="34" t="s">
        <v>18</v>
      </c>
      <c r="E19" s="34" t="s">
        <v>29</v>
      </c>
      <c r="F19" s="34" t="s">
        <v>75</v>
      </c>
      <c r="G19" s="34">
        <v>1</v>
      </c>
    </row>
    <row r="20" spans="1:7" x14ac:dyDescent="0.25">
      <c r="A20" s="34">
        <v>2</v>
      </c>
      <c r="B20" s="34" t="s">
        <v>19</v>
      </c>
      <c r="C20" s="34" t="s">
        <v>17</v>
      </c>
      <c r="D20" s="34" t="s">
        <v>18</v>
      </c>
      <c r="E20" s="34" t="s">
        <v>29</v>
      </c>
      <c r="F20" s="34" t="s">
        <v>75</v>
      </c>
      <c r="G20" s="34">
        <v>1</v>
      </c>
    </row>
    <row r="21" spans="1:7" x14ac:dyDescent="0.25">
      <c r="A21" s="34">
        <v>2</v>
      </c>
      <c r="B21" s="34" t="s">
        <v>19</v>
      </c>
      <c r="C21" s="34" t="s">
        <v>17</v>
      </c>
      <c r="D21" s="34" t="s">
        <v>18</v>
      </c>
      <c r="E21" s="34" t="s">
        <v>29</v>
      </c>
      <c r="F21" s="34" t="s">
        <v>75</v>
      </c>
      <c r="G21" s="34">
        <v>1</v>
      </c>
    </row>
    <row r="22" spans="1:7" x14ac:dyDescent="0.25">
      <c r="A22" s="34">
        <v>2</v>
      </c>
      <c r="B22" s="34" t="s">
        <v>19</v>
      </c>
      <c r="C22" s="34" t="s">
        <v>17</v>
      </c>
      <c r="D22" s="34" t="s">
        <v>18</v>
      </c>
      <c r="E22" s="34" t="s">
        <v>29</v>
      </c>
      <c r="F22" s="34" t="s">
        <v>75</v>
      </c>
      <c r="G22" s="34">
        <v>1</v>
      </c>
    </row>
    <row r="23" spans="1:7" x14ac:dyDescent="0.25">
      <c r="A23" s="34">
        <v>2</v>
      </c>
      <c r="B23" s="34" t="s">
        <v>19</v>
      </c>
      <c r="C23" s="34" t="s">
        <v>17</v>
      </c>
      <c r="D23" s="34" t="s">
        <v>18</v>
      </c>
      <c r="E23" s="34" t="s">
        <v>29</v>
      </c>
      <c r="F23" s="34" t="s">
        <v>75</v>
      </c>
      <c r="G23" s="34">
        <v>1</v>
      </c>
    </row>
    <row r="24" spans="1:7" x14ac:dyDescent="0.25">
      <c r="A24" s="34">
        <v>2</v>
      </c>
      <c r="B24" s="34" t="s">
        <v>19</v>
      </c>
      <c r="C24" s="34" t="s">
        <v>17</v>
      </c>
      <c r="D24" s="34" t="s">
        <v>18</v>
      </c>
      <c r="E24" s="34" t="s">
        <v>29</v>
      </c>
      <c r="F24" s="34" t="s">
        <v>75</v>
      </c>
      <c r="G24" s="34">
        <v>1</v>
      </c>
    </row>
    <row r="25" spans="1:7" x14ac:dyDescent="0.25">
      <c r="A25" s="34">
        <v>2</v>
      </c>
      <c r="B25" s="34" t="s">
        <v>19</v>
      </c>
      <c r="C25" s="34" t="s">
        <v>17</v>
      </c>
      <c r="D25" s="34" t="s">
        <v>18</v>
      </c>
      <c r="E25" s="34" t="s">
        <v>29</v>
      </c>
      <c r="F25" s="34" t="s">
        <v>75</v>
      </c>
      <c r="G25" s="34">
        <v>1</v>
      </c>
    </row>
    <row r="26" spans="1:7" x14ac:dyDescent="0.25">
      <c r="A26" s="34">
        <v>2</v>
      </c>
      <c r="B26" s="34" t="s">
        <v>19</v>
      </c>
      <c r="C26" s="34" t="s">
        <v>17</v>
      </c>
      <c r="D26" s="34" t="s">
        <v>18</v>
      </c>
      <c r="E26" s="34" t="s">
        <v>29</v>
      </c>
      <c r="F26" s="34" t="s">
        <v>75</v>
      </c>
      <c r="G26" s="34">
        <v>1</v>
      </c>
    </row>
    <row r="27" spans="1:7" x14ac:dyDescent="0.25">
      <c r="A27" s="34">
        <v>2</v>
      </c>
      <c r="B27" s="34" t="s">
        <v>19</v>
      </c>
      <c r="C27" s="34" t="s">
        <v>17</v>
      </c>
      <c r="D27" s="34" t="s">
        <v>18</v>
      </c>
      <c r="E27" s="34" t="s">
        <v>29</v>
      </c>
      <c r="F27" s="34" t="s">
        <v>75</v>
      </c>
      <c r="G27" s="34">
        <v>1</v>
      </c>
    </row>
    <row r="28" spans="1:7" x14ac:dyDescent="0.25">
      <c r="A28" s="34">
        <v>2</v>
      </c>
      <c r="B28" s="34" t="s">
        <v>19</v>
      </c>
      <c r="C28" s="34" t="s">
        <v>17</v>
      </c>
      <c r="D28" s="34" t="s">
        <v>18</v>
      </c>
      <c r="E28" s="34" t="s">
        <v>29</v>
      </c>
      <c r="F28" s="34" t="s">
        <v>75</v>
      </c>
      <c r="G28" s="34">
        <v>1</v>
      </c>
    </row>
    <row r="29" spans="1:7" x14ac:dyDescent="0.25">
      <c r="A29" s="34">
        <v>2</v>
      </c>
      <c r="B29" s="34" t="s">
        <v>19</v>
      </c>
      <c r="C29" s="34" t="s">
        <v>17</v>
      </c>
      <c r="D29" s="34" t="s">
        <v>18</v>
      </c>
      <c r="E29" s="34" t="s">
        <v>29</v>
      </c>
      <c r="F29" s="34" t="s">
        <v>75</v>
      </c>
      <c r="G29" s="34">
        <v>1</v>
      </c>
    </row>
    <row r="30" spans="1:7" x14ac:dyDescent="0.25">
      <c r="A30" s="34">
        <v>2</v>
      </c>
      <c r="B30" s="34" t="s">
        <v>19</v>
      </c>
      <c r="C30" s="34" t="s">
        <v>17</v>
      </c>
      <c r="D30" s="34" t="s">
        <v>18</v>
      </c>
      <c r="E30" s="34" t="s">
        <v>29</v>
      </c>
      <c r="F30" s="34" t="s">
        <v>75</v>
      </c>
      <c r="G30" s="34">
        <v>1</v>
      </c>
    </row>
    <row r="31" spans="1:7" x14ac:dyDescent="0.25">
      <c r="A31" s="34">
        <v>2</v>
      </c>
      <c r="B31" s="34" t="s">
        <v>19</v>
      </c>
      <c r="C31" s="34" t="s">
        <v>17</v>
      </c>
      <c r="D31" s="34" t="s">
        <v>18</v>
      </c>
      <c r="E31" s="34" t="s">
        <v>29</v>
      </c>
      <c r="F31" s="34" t="s">
        <v>75</v>
      </c>
      <c r="G31" s="34">
        <v>1</v>
      </c>
    </row>
    <row r="32" spans="1:7" x14ac:dyDescent="0.25">
      <c r="A32" s="34">
        <v>2</v>
      </c>
      <c r="B32" s="34" t="s">
        <v>19</v>
      </c>
      <c r="C32" s="34" t="s">
        <v>17</v>
      </c>
      <c r="D32" s="34" t="s">
        <v>18</v>
      </c>
      <c r="E32" s="34" t="s">
        <v>29</v>
      </c>
      <c r="F32" s="34" t="s">
        <v>75</v>
      </c>
      <c r="G32" s="34">
        <v>1</v>
      </c>
    </row>
    <row r="33" spans="1:7" x14ac:dyDescent="0.25">
      <c r="A33" s="34">
        <v>2</v>
      </c>
      <c r="B33" s="34" t="s">
        <v>19</v>
      </c>
      <c r="C33" s="34" t="s">
        <v>17</v>
      </c>
      <c r="D33" s="34" t="s">
        <v>18</v>
      </c>
      <c r="E33" s="34" t="s">
        <v>29</v>
      </c>
      <c r="F33" s="34" t="s">
        <v>75</v>
      </c>
      <c r="G33" s="34">
        <v>1</v>
      </c>
    </row>
    <row r="34" spans="1:7" x14ac:dyDescent="0.25">
      <c r="A34" s="34">
        <v>2</v>
      </c>
      <c r="B34" s="34" t="s">
        <v>19</v>
      </c>
      <c r="C34" s="34" t="s">
        <v>17</v>
      </c>
      <c r="D34" s="34" t="s">
        <v>18</v>
      </c>
      <c r="E34" s="34" t="s">
        <v>29</v>
      </c>
      <c r="F34" s="34" t="s">
        <v>75</v>
      </c>
      <c r="G34" s="34">
        <v>1</v>
      </c>
    </row>
    <row r="35" spans="1:7" x14ac:dyDescent="0.25">
      <c r="A35" s="34">
        <v>2</v>
      </c>
      <c r="B35" s="34" t="s">
        <v>19</v>
      </c>
      <c r="C35" s="34" t="s">
        <v>17</v>
      </c>
      <c r="D35" s="34" t="s">
        <v>18</v>
      </c>
      <c r="E35" s="34" t="s">
        <v>29</v>
      </c>
      <c r="F35" s="34" t="s">
        <v>75</v>
      </c>
      <c r="G35" s="34">
        <v>1</v>
      </c>
    </row>
    <row r="36" spans="1:7" x14ac:dyDescent="0.25">
      <c r="A36" s="34">
        <v>2</v>
      </c>
      <c r="B36" s="34" t="s">
        <v>19</v>
      </c>
      <c r="C36" s="34" t="s">
        <v>17</v>
      </c>
      <c r="D36" s="34" t="s">
        <v>18</v>
      </c>
      <c r="E36" s="34" t="s">
        <v>29</v>
      </c>
      <c r="F36" s="34" t="s">
        <v>75</v>
      </c>
      <c r="G36" s="34">
        <v>1</v>
      </c>
    </row>
    <row r="37" spans="1:7" x14ac:dyDescent="0.25">
      <c r="A37" s="34">
        <v>2</v>
      </c>
      <c r="B37" s="34" t="s">
        <v>19</v>
      </c>
      <c r="C37" s="34" t="s">
        <v>17</v>
      </c>
      <c r="D37" s="34" t="s">
        <v>18</v>
      </c>
      <c r="E37" s="34" t="s">
        <v>29</v>
      </c>
      <c r="F37" s="34" t="s">
        <v>75</v>
      </c>
      <c r="G37" s="34">
        <v>1</v>
      </c>
    </row>
    <row r="38" spans="1:7" x14ac:dyDescent="0.25">
      <c r="A38" s="34">
        <v>2</v>
      </c>
      <c r="B38" s="34" t="s">
        <v>19</v>
      </c>
      <c r="C38" s="34" t="s">
        <v>17</v>
      </c>
      <c r="D38" s="34" t="s">
        <v>18</v>
      </c>
      <c r="E38" s="34" t="s">
        <v>29</v>
      </c>
      <c r="F38" s="34" t="s">
        <v>75</v>
      </c>
      <c r="G38" s="34">
        <v>1</v>
      </c>
    </row>
    <row r="39" spans="1:7" x14ac:dyDescent="0.25">
      <c r="A39" s="34">
        <v>2</v>
      </c>
      <c r="B39" s="34" t="s">
        <v>19</v>
      </c>
      <c r="C39" s="34" t="s">
        <v>17</v>
      </c>
      <c r="D39" s="34" t="s">
        <v>18</v>
      </c>
      <c r="E39" s="34" t="s">
        <v>29</v>
      </c>
      <c r="F39" s="34" t="s">
        <v>75</v>
      </c>
      <c r="G39" s="34">
        <v>1</v>
      </c>
    </row>
    <row r="40" spans="1:7" x14ac:dyDescent="0.25">
      <c r="A40" s="34">
        <v>2</v>
      </c>
      <c r="B40" s="34" t="s">
        <v>19</v>
      </c>
      <c r="C40" s="34" t="s">
        <v>17</v>
      </c>
      <c r="D40" s="34" t="s">
        <v>18</v>
      </c>
      <c r="E40" s="34" t="s">
        <v>29</v>
      </c>
      <c r="F40" s="34" t="s">
        <v>75</v>
      </c>
      <c r="G40" s="34">
        <v>1</v>
      </c>
    </row>
    <row r="41" spans="1:7" x14ac:dyDescent="0.25">
      <c r="A41" s="34">
        <v>2</v>
      </c>
      <c r="B41" s="34" t="s">
        <v>19</v>
      </c>
      <c r="C41" s="34" t="s">
        <v>17</v>
      </c>
      <c r="D41" s="34" t="s">
        <v>18</v>
      </c>
      <c r="E41" s="34" t="s">
        <v>29</v>
      </c>
      <c r="F41" s="34" t="s">
        <v>75</v>
      </c>
      <c r="G41" s="34">
        <v>1</v>
      </c>
    </row>
    <row r="42" spans="1:7" x14ac:dyDescent="0.25">
      <c r="A42" s="34">
        <v>2</v>
      </c>
      <c r="B42" s="34" t="s">
        <v>19</v>
      </c>
      <c r="C42" s="34" t="s">
        <v>17</v>
      </c>
      <c r="D42" s="34" t="s">
        <v>18</v>
      </c>
      <c r="E42" s="34" t="s">
        <v>29</v>
      </c>
      <c r="F42" s="34" t="s">
        <v>75</v>
      </c>
      <c r="G42" s="34">
        <v>1</v>
      </c>
    </row>
    <row r="43" spans="1:7" x14ac:dyDescent="0.25">
      <c r="A43" s="34">
        <v>2</v>
      </c>
      <c r="B43" s="34" t="s">
        <v>19</v>
      </c>
      <c r="C43" s="34" t="s">
        <v>17</v>
      </c>
      <c r="D43" s="34" t="s">
        <v>18</v>
      </c>
      <c r="E43" s="34" t="s">
        <v>29</v>
      </c>
      <c r="F43" s="34" t="s">
        <v>75</v>
      </c>
      <c r="G43" s="34">
        <v>1</v>
      </c>
    </row>
    <row r="44" spans="1:7" x14ac:dyDescent="0.25">
      <c r="A44" s="34">
        <v>2</v>
      </c>
      <c r="B44" s="34" t="s">
        <v>19</v>
      </c>
      <c r="C44" s="34" t="s">
        <v>17</v>
      </c>
      <c r="D44" s="34" t="s">
        <v>18</v>
      </c>
      <c r="E44" s="34" t="s">
        <v>29</v>
      </c>
      <c r="F44" s="34" t="s">
        <v>75</v>
      </c>
      <c r="G44" s="34">
        <v>1</v>
      </c>
    </row>
    <row r="45" spans="1:7" x14ac:dyDescent="0.25">
      <c r="A45" s="34">
        <v>2</v>
      </c>
      <c r="B45" s="34" t="s">
        <v>19</v>
      </c>
      <c r="C45" s="34" t="s">
        <v>17</v>
      </c>
      <c r="D45" s="34" t="s">
        <v>18</v>
      </c>
      <c r="E45" s="34" t="s">
        <v>29</v>
      </c>
      <c r="F45" s="34" t="s">
        <v>75</v>
      </c>
      <c r="G45" s="34">
        <v>1</v>
      </c>
    </row>
    <row r="46" spans="1:7" x14ac:dyDescent="0.25">
      <c r="A46" s="34">
        <v>2</v>
      </c>
      <c r="B46" s="34" t="s">
        <v>19</v>
      </c>
      <c r="C46" s="34" t="s">
        <v>17</v>
      </c>
      <c r="D46" s="34" t="s">
        <v>18</v>
      </c>
      <c r="E46" s="34" t="s">
        <v>29</v>
      </c>
      <c r="F46" s="34" t="s">
        <v>75</v>
      </c>
      <c r="G46" s="34">
        <v>1</v>
      </c>
    </row>
    <row r="47" spans="1:7" x14ac:dyDescent="0.25">
      <c r="A47" s="34">
        <v>2</v>
      </c>
      <c r="B47" s="34" t="s">
        <v>19</v>
      </c>
      <c r="C47" s="34" t="s">
        <v>17</v>
      </c>
      <c r="D47" s="34" t="s">
        <v>18</v>
      </c>
      <c r="E47" s="34" t="s">
        <v>29</v>
      </c>
      <c r="F47" s="34" t="s">
        <v>75</v>
      </c>
      <c r="G47" s="34">
        <v>1</v>
      </c>
    </row>
    <row r="48" spans="1:7" x14ac:dyDescent="0.25">
      <c r="A48" s="34">
        <v>2</v>
      </c>
      <c r="B48" s="34" t="s">
        <v>19</v>
      </c>
      <c r="C48" s="34" t="s">
        <v>17</v>
      </c>
      <c r="D48" s="34" t="s">
        <v>18</v>
      </c>
      <c r="E48" s="34" t="s">
        <v>29</v>
      </c>
      <c r="F48" s="34" t="s">
        <v>75</v>
      </c>
      <c r="G48" s="34">
        <v>1</v>
      </c>
    </row>
    <row r="49" spans="1:7" x14ac:dyDescent="0.25">
      <c r="A49" s="34">
        <v>2</v>
      </c>
      <c r="B49" s="34" t="s">
        <v>19</v>
      </c>
      <c r="C49" s="34" t="s">
        <v>17</v>
      </c>
      <c r="D49" s="34" t="s">
        <v>18</v>
      </c>
      <c r="E49" s="34" t="s">
        <v>29</v>
      </c>
      <c r="F49" s="34" t="s">
        <v>75</v>
      </c>
      <c r="G49" s="34">
        <v>1</v>
      </c>
    </row>
    <row r="50" spans="1:7" x14ac:dyDescent="0.25">
      <c r="A50" s="34">
        <v>2</v>
      </c>
      <c r="B50" s="34" t="s">
        <v>19</v>
      </c>
      <c r="C50" s="34" t="s">
        <v>17</v>
      </c>
      <c r="D50" s="34" t="s">
        <v>18</v>
      </c>
      <c r="E50" s="34" t="s">
        <v>29</v>
      </c>
      <c r="F50" s="34" t="s">
        <v>75</v>
      </c>
      <c r="G50" s="34">
        <v>1</v>
      </c>
    </row>
    <row r="51" spans="1:7" x14ac:dyDescent="0.25">
      <c r="A51" s="34">
        <v>2</v>
      </c>
      <c r="B51" s="34" t="s">
        <v>19</v>
      </c>
      <c r="C51" s="34" t="s">
        <v>17</v>
      </c>
      <c r="D51" s="34" t="s">
        <v>18</v>
      </c>
      <c r="E51" s="34" t="s">
        <v>29</v>
      </c>
      <c r="F51" s="34" t="s">
        <v>75</v>
      </c>
      <c r="G51" s="34">
        <v>1</v>
      </c>
    </row>
    <row r="52" spans="1:7" x14ac:dyDescent="0.25">
      <c r="A52" s="34">
        <v>1</v>
      </c>
      <c r="B52" s="34" t="s">
        <v>72</v>
      </c>
      <c r="C52" s="34" t="s">
        <v>71</v>
      </c>
      <c r="D52" s="34" t="s">
        <v>18</v>
      </c>
      <c r="E52" s="34" t="s">
        <v>29</v>
      </c>
      <c r="F52" s="34" t="s">
        <v>75</v>
      </c>
      <c r="G52" s="34" t="s"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MRR</vt:lpstr>
      <vt:lpstr>MRR 2</vt:lpstr>
      <vt:lpstr>MRR 3</vt:lpstr>
      <vt:lpstr>MRR 4</vt:lpstr>
      <vt:lpstr>Data sheet</vt:lpstr>
      <vt:lpstr>Processed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2026-01-12T18:15:17Z</cp:lastPrinted>
  <dcterms:created xsi:type="dcterms:W3CDTF">2023-07-28T14:40:17Z</dcterms:created>
  <dcterms:modified xsi:type="dcterms:W3CDTF">2026-01-22T00:27:31Z</dcterms:modified>
</cp:coreProperties>
</file>